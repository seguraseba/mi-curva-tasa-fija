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lanzcapitalsa-my.sharepoint.com/personal/ssegura_balanz_com/Documents/Escritorio/curvas/"/>
    </mc:Choice>
  </mc:AlternateContent>
  <xr:revisionPtr revIDLastSave="434" documentId="8_{1398FB6E-3DD2-4A10-AF87-7BA56C4A53DC}" xr6:coauthVersionLast="47" xr6:coauthVersionMax="47" xr10:uidLastSave="{D50BF706-7330-419B-A635-7AD685809D9F}"/>
  <bookViews>
    <workbookView xWindow="-108" yWindow="-108" windowWidth="23256" windowHeight="12456" xr2:uid="{C1B1CFF9-A46C-48B2-B4C6-114803BA4979}"/>
  </bookViews>
  <sheets>
    <sheet name="CER" sheetId="2" r:id="rId1"/>
    <sheet name="INFLA" sheetId="3" r:id="rId2"/>
    <sheet name="FLUJOS" sheetId="1" r:id="rId3"/>
  </sheets>
  <definedNames>
    <definedName name="_xlnm._FilterDatabase" localSheetId="0" hidden="1">CER!$A$1:$B$2585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H12" i="3"/>
  <c r="C2645" i="2" l="1"/>
  <c r="E2645" i="2" l="1"/>
  <c r="E2646" i="2" s="1"/>
  <c r="E2647" i="2" s="1"/>
  <c r="E2648" i="2" s="1"/>
  <c r="E2649" i="2" s="1"/>
  <c r="E2650" i="2" s="1"/>
  <c r="E2651" i="2" s="1"/>
  <c r="E2652" i="2" s="1"/>
  <c r="E2653" i="2" s="1"/>
  <c r="E2654" i="2" s="1"/>
  <c r="E2655" i="2" s="1"/>
  <c r="E2656" i="2" s="1"/>
  <c r="E2657" i="2" s="1"/>
  <c r="E2658" i="2" s="1"/>
  <c r="E2659" i="2" s="1"/>
  <c r="E2660" i="2" s="1"/>
  <c r="E2661" i="2" s="1"/>
  <c r="E2662" i="2" s="1"/>
  <c r="E2663" i="2" s="1"/>
  <c r="E2664" i="2" s="1"/>
  <c r="E2665" i="2" s="1"/>
  <c r="E2666" i="2" s="1"/>
  <c r="E2667" i="2" s="1"/>
  <c r="E2668" i="2" s="1"/>
  <c r="E2669" i="2" s="1"/>
  <c r="E2670" i="2" s="1"/>
  <c r="E2671" i="2" s="1"/>
  <c r="E2672" i="2" s="1"/>
  <c r="E2673" i="2" s="1"/>
  <c r="E2674" i="2" s="1"/>
  <c r="E2675" i="2" s="1"/>
  <c r="E2676" i="2" s="1"/>
  <c r="E2677" i="2" s="1"/>
  <c r="E2678" i="2" s="1"/>
  <c r="E2679" i="2" s="1"/>
  <c r="E2680" i="2" s="1"/>
  <c r="E2681" i="2" s="1"/>
  <c r="E2682" i="2" s="1"/>
  <c r="E2683" i="2" s="1"/>
  <c r="E2684" i="2" s="1"/>
  <c r="E2685" i="2" s="1"/>
  <c r="E2686" i="2" s="1"/>
  <c r="E2687" i="2" s="1"/>
  <c r="E2688" i="2" s="1"/>
  <c r="E2689" i="2" s="1"/>
  <c r="E2690" i="2" s="1"/>
  <c r="E2691" i="2" s="1"/>
  <c r="E2692" i="2" s="1"/>
  <c r="E2693" i="2" s="1"/>
  <c r="E2694" i="2" s="1"/>
  <c r="E2695" i="2" s="1"/>
  <c r="E2696" i="2" s="1"/>
  <c r="E2697" i="2" s="1"/>
  <c r="E2698" i="2" s="1"/>
  <c r="E2699" i="2" s="1"/>
  <c r="E2700" i="2" s="1"/>
  <c r="E2701" i="2" s="1"/>
  <c r="E2702" i="2" s="1"/>
  <c r="E2703" i="2" s="1"/>
  <c r="E2704" i="2" s="1"/>
  <c r="E2705" i="2" s="1"/>
  <c r="E2706" i="2" s="1"/>
  <c r="E2707" i="2" s="1"/>
  <c r="E2708" i="2" s="1"/>
  <c r="E2709" i="2" s="1"/>
  <c r="E2710" i="2" s="1"/>
  <c r="E2711" i="2" s="1"/>
  <c r="E2712" i="2" s="1"/>
  <c r="E2713" i="2" s="1"/>
  <c r="E2714" i="2" s="1"/>
  <c r="E2715" i="2" s="1"/>
  <c r="E2716" i="2" s="1"/>
  <c r="E2717" i="2" s="1"/>
  <c r="E2718" i="2" s="1"/>
  <c r="E2719" i="2" s="1"/>
  <c r="E2720" i="2" s="1"/>
  <c r="E2721" i="2" s="1"/>
  <c r="E2722" i="2" s="1"/>
  <c r="E2723" i="2" s="1"/>
  <c r="E2724" i="2" s="1"/>
  <c r="E2725" i="2" s="1"/>
  <c r="E2726" i="2" s="1"/>
  <c r="E2727" i="2" s="1"/>
  <c r="E2728" i="2" s="1"/>
  <c r="E2729" i="2" s="1"/>
  <c r="E2730" i="2" s="1"/>
  <c r="E2731" i="2" s="1"/>
  <c r="E2732" i="2" s="1"/>
  <c r="E2733" i="2" s="1"/>
  <c r="E2734" i="2" s="1"/>
  <c r="E2735" i="2" s="1"/>
  <c r="E2736" i="2" s="1"/>
  <c r="E2737" i="2" s="1"/>
  <c r="E2738" i="2" s="1"/>
  <c r="E2739" i="2" s="1"/>
  <c r="E2740" i="2" s="1"/>
  <c r="E2741" i="2" s="1"/>
  <c r="E2742" i="2" s="1"/>
  <c r="E2743" i="2" s="1"/>
  <c r="E2744" i="2" s="1"/>
  <c r="E2745" i="2" s="1"/>
  <c r="E2746" i="2" s="1"/>
  <c r="E2747" i="2" s="1"/>
  <c r="E2748" i="2" s="1"/>
  <c r="E2749" i="2" s="1"/>
  <c r="E2750" i="2" s="1"/>
  <c r="E2751" i="2" s="1"/>
  <c r="E2752" i="2" s="1"/>
  <c r="E2753" i="2" s="1"/>
  <c r="E2754" i="2" s="1"/>
  <c r="E2755" i="2" s="1"/>
  <c r="E2756" i="2" s="1"/>
  <c r="E2757" i="2" s="1"/>
  <c r="E2758" i="2" s="1"/>
  <c r="E2759" i="2" s="1"/>
  <c r="E2760" i="2" s="1"/>
  <c r="E2761" i="2" s="1"/>
  <c r="E2762" i="2" s="1"/>
  <c r="E2763" i="2" s="1"/>
  <c r="E2764" i="2" s="1"/>
  <c r="E2765" i="2" s="1"/>
  <c r="E2766" i="2" s="1"/>
  <c r="E2767" i="2" s="1"/>
  <c r="E2768" i="2" s="1"/>
  <c r="E2769" i="2" s="1"/>
  <c r="E2770" i="2" s="1"/>
  <c r="E2771" i="2" s="1"/>
  <c r="E2772" i="2" s="1"/>
  <c r="E2773" i="2" s="1"/>
  <c r="E2774" i="2" s="1"/>
  <c r="E2775" i="2" s="1"/>
  <c r="E2776" i="2" s="1"/>
  <c r="E2777" i="2" s="1"/>
  <c r="E2778" i="2" s="1"/>
  <c r="E2779" i="2" s="1"/>
  <c r="E2780" i="2" s="1"/>
  <c r="E2781" i="2" s="1"/>
  <c r="E2782" i="2" s="1"/>
  <c r="E2783" i="2" s="1"/>
  <c r="E2784" i="2" s="1"/>
  <c r="E2785" i="2" s="1"/>
  <c r="E2786" i="2" s="1"/>
  <c r="E2787" i="2" s="1"/>
  <c r="E2788" i="2" s="1"/>
  <c r="E2789" i="2" s="1"/>
  <c r="E2790" i="2" s="1"/>
  <c r="E2791" i="2" s="1"/>
  <c r="E2792" i="2" s="1"/>
  <c r="E2793" i="2" s="1"/>
  <c r="E2794" i="2" s="1"/>
  <c r="E2795" i="2" s="1"/>
  <c r="E2796" i="2" s="1"/>
  <c r="E2797" i="2" s="1"/>
  <c r="E2798" i="2" s="1"/>
  <c r="E2799" i="2" s="1"/>
  <c r="E2800" i="2" s="1"/>
  <c r="E2801" i="2" s="1"/>
  <c r="E2802" i="2" s="1"/>
  <c r="E2803" i="2" s="1"/>
  <c r="E2804" i="2" s="1"/>
  <c r="E2805" i="2" s="1"/>
  <c r="E2806" i="2" s="1"/>
  <c r="E2807" i="2" s="1"/>
  <c r="E2808" i="2" s="1"/>
  <c r="E2809" i="2" s="1"/>
  <c r="E2810" i="2" s="1"/>
  <c r="E2811" i="2" s="1"/>
  <c r="E2812" i="2" s="1"/>
  <c r="E2813" i="2" s="1"/>
  <c r="E2814" i="2" s="1"/>
  <c r="E2815" i="2" s="1"/>
  <c r="E2816" i="2" s="1"/>
  <c r="E2817" i="2" s="1"/>
  <c r="E2818" i="2" s="1"/>
  <c r="E2819" i="2" s="1"/>
  <c r="E2820" i="2" s="1"/>
  <c r="E2821" i="2" s="1"/>
  <c r="E2822" i="2" s="1"/>
  <c r="E2823" i="2" s="1"/>
  <c r="E2824" i="2" s="1"/>
  <c r="E2825" i="2" s="1"/>
  <c r="E2826" i="2" s="1"/>
  <c r="E2827" i="2" s="1"/>
  <c r="D2645" i="2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C2646" i="2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 s="1"/>
  <c r="C2689" i="2" s="1"/>
  <c r="C2690" i="2" s="1"/>
  <c r="C2691" i="2" s="1"/>
  <c r="C2692" i="2" s="1"/>
  <c r="C2693" i="2" s="1"/>
  <c r="C2694" i="2" s="1"/>
  <c r="C2695" i="2" s="1"/>
  <c r="C2696" i="2" s="1"/>
  <c r="C2697" i="2" s="1"/>
  <c r="C2698" i="2" s="1"/>
  <c r="C2699" i="2" s="1"/>
  <c r="C2700" i="2" s="1"/>
  <c r="C2701" i="2" s="1"/>
  <c r="C2702" i="2" s="1"/>
  <c r="C2703" i="2" s="1"/>
  <c r="C2704" i="2" s="1"/>
  <c r="C2705" i="2" s="1"/>
  <c r="C2706" i="2" s="1"/>
  <c r="C2707" i="2" s="1"/>
  <c r="C2708" i="2" s="1"/>
  <c r="C2709" i="2" s="1"/>
  <c r="C2710" i="2" s="1"/>
  <c r="C2711" i="2" s="1"/>
  <c r="C2712" i="2" s="1"/>
  <c r="C2713" i="2" s="1"/>
  <c r="C2714" i="2" s="1"/>
  <c r="C2715" i="2" s="1"/>
  <c r="C2716" i="2" s="1"/>
  <c r="C2717" i="2" s="1"/>
  <c r="C2718" i="2" s="1"/>
  <c r="C2719" i="2" s="1"/>
  <c r="C2720" i="2" s="1"/>
  <c r="C2721" i="2" s="1"/>
  <c r="C2722" i="2" s="1"/>
  <c r="C2723" i="2" s="1"/>
  <c r="C2724" i="2" s="1"/>
  <c r="C2725" i="2" s="1"/>
  <c r="C2726" i="2" s="1"/>
  <c r="C2727" i="2" s="1"/>
  <c r="C2728" i="2" s="1"/>
  <c r="C2729" i="2" s="1"/>
  <c r="C2730" i="2" s="1"/>
  <c r="C2731" i="2" s="1"/>
  <c r="C2732" i="2" s="1"/>
  <c r="C2733" i="2" s="1"/>
  <c r="C2734" i="2" s="1"/>
  <c r="C2735" i="2" s="1"/>
  <c r="C2736" i="2" s="1"/>
  <c r="C2737" i="2" s="1"/>
  <c r="C2738" i="2" s="1"/>
  <c r="C2739" i="2" s="1"/>
  <c r="C2740" i="2" s="1"/>
  <c r="C2741" i="2" s="1"/>
  <c r="C2742" i="2" s="1"/>
  <c r="C2743" i="2" s="1"/>
  <c r="C2744" i="2" s="1"/>
  <c r="C2745" i="2" s="1"/>
  <c r="C2746" i="2" s="1"/>
  <c r="C2747" i="2" s="1"/>
  <c r="C2748" i="2" s="1"/>
  <c r="C2749" i="2" s="1"/>
  <c r="C2750" i="2" s="1"/>
  <c r="C2751" i="2" s="1"/>
  <c r="C2752" i="2" s="1"/>
  <c r="C2753" i="2" s="1"/>
  <c r="C2754" i="2" s="1"/>
  <c r="C2755" i="2" s="1"/>
  <c r="C2756" i="2" s="1"/>
  <c r="C2757" i="2" s="1"/>
  <c r="C2758" i="2" s="1"/>
  <c r="C2759" i="2" s="1"/>
  <c r="C2760" i="2" s="1"/>
  <c r="C2761" i="2" s="1"/>
  <c r="C2762" i="2" s="1"/>
  <c r="C2763" i="2" s="1"/>
  <c r="C2764" i="2" s="1"/>
  <c r="C2765" i="2" s="1"/>
  <c r="C2766" i="2" s="1"/>
  <c r="C2767" i="2" s="1"/>
  <c r="C2768" i="2" s="1"/>
  <c r="C2769" i="2" s="1"/>
  <c r="C2770" i="2" s="1"/>
  <c r="C2771" i="2" s="1"/>
  <c r="C2772" i="2" s="1"/>
  <c r="C2773" i="2" s="1"/>
  <c r="C2774" i="2" s="1"/>
  <c r="C2775" i="2" s="1"/>
  <c r="C2776" i="2" s="1"/>
  <c r="C2777" i="2" s="1"/>
  <c r="C2778" i="2" s="1"/>
  <c r="C2779" i="2" s="1"/>
  <c r="C2780" i="2" s="1"/>
  <c r="C2781" i="2" s="1"/>
  <c r="C2782" i="2" s="1"/>
  <c r="C2783" i="2" s="1"/>
  <c r="C2784" i="2" s="1"/>
  <c r="C2785" i="2" s="1"/>
  <c r="C2786" i="2" s="1"/>
  <c r="C2787" i="2" s="1"/>
  <c r="C2788" i="2" s="1"/>
  <c r="C2789" i="2" s="1"/>
  <c r="C2790" i="2" s="1"/>
  <c r="C2791" i="2" s="1"/>
  <c r="C2792" i="2" s="1"/>
  <c r="C2793" i="2" s="1"/>
  <c r="C2794" i="2" s="1"/>
  <c r="C2795" i="2" s="1"/>
  <c r="C2796" i="2" s="1"/>
  <c r="C2797" i="2" s="1"/>
  <c r="C2798" i="2" s="1"/>
  <c r="C2799" i="2" s="1"/>
  <c r="C2800" i="2" s="1"/>
  <c r="C2801" i="2" s="1"/>
  <c r="C2802" i="2" s="1"/>
  <c r="C2803" i="2" s="1"/>
  <c r="C2804" i="2" s="1"/>
  <c r="C2805" i="2" s="1"/>
  <c r="C2806" i="2" s="1"/>
  <c r="C2807" i="2" s="1"/>
  <c r="C2808" i="2" s="1"/>
  <c r="C2809" i="2" s="1"/>
  <c r="C2810" i="2" s="1"/>
  <c r="C2811" i="2" s="1"/>
  <c r="C2812" i="2" s="1"/>
  <c r="C2813" i="2" s="1"/>
  <c r="C2814" i="2" s="1"/>
  <c r="C2815" i="2" s="1"/>
  <c r="C2816" i="2" s="1"/>
  <c r="C2817" i="2" s="1"/>
  <c r="C2818" i="2" s="1"/>
  <c r="C2819" i="2" s="1"/>
  <c r="C2820" i="2" s="1"/>
  <c r="C2821" i="2" s="1"/>
  <c r="C2822" i="2" s="1"/>
  <c r="C2823" i="2" s="1"/>
  <c r="C2824" i="2" s="1"/>
  <c r="C2825" i="2" s="1"/>
  <c r="C2826" i="2" s="1"/>
  <c r="C2827" i="2" s="1"/>
  <c r="D4" i="3"/>
  <c r="D3" i="3"/>
  <c r="D214" i="1"/>
  <c r="D213" i="1"/>
  <c r="D212" i="1"/>
  <c r="D211" i="1"/>
  <c r="D207" i="1"/>
  <c r="D206" i="1"/>
  <c r="D205" i="1"/>
  <c r="D204" i="1"/>
  <c r="D203" i="1"/>
  <c r="D202" i="1"/>
  <c r="D201" i="1"/>
  <c r="D200" i="1"/>
  <c r="D199" i="1"/>
  <c r="D198" i="1"/>
  <c r="C194" i="1"/>
  <c r="B194" i="1"/>
  <c r="C193" i="1"/>
  <c r="B193" i="1"/>
  <c r="C192" i="1"/>
  <c r="B192" i="1"/>
  <c r="C191" i="1"/>
  <c r="B191" i="1"/>
  <c r="C190" i="1"/>
  <c r="B190" i="1"/>
  <c r="C189" i="1"/>
  <c r="B189" i="1"/>
  <c r="C188" i="1"/>
  <c r="B188" i="1"/>
  <c r="C187" i="1"/>
  <c r="B187" i="1"/>
  <c r="C186" i="1"/>
  <c r="B186" i="1"/>
  <c r="C185" i="1"/>
  <c r="B185" i="1"/>
  <c r="C184" i="1"/>
  <c r="B184" i="1"/>
  <c r="C183" i="1"/>
  <c r="B183" i="1"/>
  <c r="C182" i="1"/>
  <c r="B182" i="1"/>
  <c r="C181" i="1"/>
  <c r="B181" i="1"/>
  <c r="C180" i="1"/>
  <c r="B180" i="1"/>
  <c r="C179" i="1"/>
  <c r="B179" i="1"/>
  <c r="C178" i="1"/>
  <c r="B178" i="1"/>
  <c r="C177" i="1"/>
  <c r="B177" i="1"/>
  <c r="C176" i="1"/>
  <c r="B176" i="1"/>
  <c r="C175" i="1"/>
  <c r="B175" i="1"/>
  <c r="B174" i="1"/>
  <c r="D174" i="1" s="1"/>
  <c r="B173" i="1"/>
  <c r="D173" i="1" s="1"/>
  <c r="B172" i="1"/>
  <c r="D172" i="1" s="1"/>
  <c r="B171" i="1"/>
  <c r="D171" i="1" s="1"/>
  <c r="B170" i="1"/>
  <c r="D170" i="1" s="1"/>
  <c r="B169" i="1"/>
  <c r="D169" i="1" s="1"/>
  <c r="B168" i="1"/>
  <c r="D168" i="1" s="1"/>
  <c r="B167" i="1"/>
  <c r="D167" i="1" s="1"/>
  <c r="B166" i="1"/>
  <c r="D166" i="1" s="1"/>
  <c r="B165" i="1"/>
  <c r="D165" i="1" s="1"/>
  <c r="B164" i="1"/>
  <c r="D164" i="1" s="1"/>
  <c r="B163" i="1"/>
  <c r="D163" i="1" s="1"/>
  <c r="B162" i="1"/>
  <c r="D162" i="1" s="1"/>
  <c r="B161" i="1"/>
  <c r="D161" i="1" s="1"/>
  <c r="B160" i="1"/>
  <c r="D160" i="1" s="1"/>
  <c r="B159" i="1"/>
  <c r="D159" i="1" s="1"/>
  <c r="B158" i="1"/>
  <c r="D158" i="1" s="1"/>
  <c r="B157" i="1"/>
  <c r="D157" i="1" s="1"/>
  <c r="B156" i="1"/>
  <c r="D156" i="1" s="1"/>
  <c r="B155" i="1"/>
  <c r="D155" i="1" s="1"/>
  <c r="B154" i="1"/>
  <c r="D154" i="1" s="1"/>
  <c r="C149" i="1"/>
  <c r="B149" i="1"/>
  <c r="C148" i="1"/>
  <c r="B148" i="1"/>
  <c r="C147" i="1"/>
  <c r="B147" i="1"/>
  <c r="C146" i="1"/>
  <c r="B146" i="1"/>
  <c r="C145" i="1"/>
  <c r="B145" i="1"/>
  <c r="C144" i="1"/>
  <c r="B144" i="1"/>
  <c r="C143" i="1"/>
  <c r="B143" i="1"/>
  <c r="C142" i="1"/>
  <c r="B142" i="1"/>
  <c r="C141" i="1"/>
  <c r="B141" i="1"/>
  <c r="C140" i="1"/>
  <c r="B140" i="1"/>
  <c r="C139" i="1"/>
  <c r="B139" i="1"/>
  <c r="C138" i="1"/>
  <c r="B138" i="1"/>
  <c r="C137" i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  <c r="C130" i="1"/>
  <c r="B130" i="1"/>
  <c r="B129" i="1"/>
  <c r="D129" i="1" s="1"/>
  <c r="B128" i="1"/>
  <c r="D128" i="1" s="1"/>
  <c r="B127" i="1"/>
  <c r="D127" i="1" s="1"/>
  <c r="B126" i="1"/>
  <c r="D126" i="1" s="1"/>
  <c r="B125" i="1"/>
  <c r="D125" i="1" s="1"/>
  <c r="B124" i="1"/>
  <c r="D124" i="1" s="1"/>
  <c r="B123" i="1"/>
  <c r="D123" i="1" s="1"/>
  <c r="B122" i="1"/>
  <c r="D122" i="1" s="1"/>
  <c r="C117" i="1"/>
  <c r="B117" i="1"/>
  <c r="C116" i="1"/>
  <c r="B116" i="1"/>
  <c r="C115" i="1"/>
  <c r="B115" i="1"/>
  <c r="C114" i="1"/>
  <c r="B114" i="1"/>
  <c r="C113" i="1"/>
  <c r="B113" i="1"/>
  <c r="C112" i="1"/>
  <c r="B112" i="1"/>
  <c r="C111" i="1"/>
  <c r="B111" i="1"/>
  <c r="C110" i="1"/>
  <c r="B110" i="1"/>
  <c r="C109" i="1"/>
  <c r="B109" i="1"/>
  <c r="C108" i="1"/>
  <c r="B108" i="1"/>
  <c r="C107" i="1"/>
  <c r="B107" i="1"/>
  <c r="C106" i="1"/>
  <c r="B106" i="1"/>
  <c r="C105" i="1"/>
  <c r="B105" i="1"/>
  <c r="C104" i="1"/>
  <c r="B104" i="1"/>
  <c r="C103" i="1"/>
  <c r="B103" i="1"/>
  <c r="C102" i="1"/>
  <c r="B102" i="1"/>
  <c r="C101" i="1"/>
  <c r="B101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B86" i="1"/>
  <c r="D86" i="1" s="1"/>
  <c r="B85" i="1"/>
  <c r="D85" i="1" s="1"/>
  <c r="B84" i="1"/>
  <c r="D84" i="1" s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68" i="1"/>
  <c r="B68" i="1"/>
  <c r="C67" i="1"/>
  <c r="B67" i="1"/>
  <c r="C66" i="1"/>
  <c r="B66" i="1"/>
  <c r="C61" i="1"/>
  <c r="B61" i="1"/>
  <c r="B56" i="1"/>
  <c r="D56" i="1" s="1"/>
  <c r="B51" i="1"/>
  <c r="D51" i="1" s="1"/>
  <c r="B46" i="1"/>
  <c r="D46" i="1" s="1"/>
  <c r="B41" i="1"/>
  <c r="D41" i="1" s="1"/>
  <c r="B36" i="1"/>
  <c r="D36" i="1" s="1"/>
  <c r="B31" i="1"/>
  <c r="D31" i="1" s="1"/>
  <c r="B26" i="1"/>
  <c r="D26" i="1" s="1"/>
  <c r="B21" i="1"/>
  <c r="D21" i="1" s="1"/>
  <c r="B16" i="1"/>
  <c r="D16" i="1" s="1"/>
  <c r="B11" i="1"/>
  <c r="D11" i="1" s="1"/>
  <c r="D142" i="1" l="1"/>
  <c r="D184" i="1"/>
  <c r="D109" i="1"/>
  <c r="D181" i="1"/>
  <c r="D106" i="1"/>
  <c r="D113" i="1"/>
  <c r="D144" i="1"/>
  <c r="D77" i="1"/>
  <c r="D135" i="1"/>
  <c r="D136" i="1"/>
  <c r="D188" i="1"/>
  <c r="D177" i="1"/>
  <c r="D110" i="1"/>
  <c r="D134" i="1"/>
  <c r="D91" i="1"/>
  <c r="D114" i="1"/>
  <c r="D176" i="1"/>
  <c r="D180" i="1"/>
  <c r="D137" i="1"/>
  <c r="D141" i="1"/>
  <c r="D189" i="1"/>
  <c r="D104" i="1"/>
  <c r="D94" i="1"/>
  <c r="D101" i="1"/>
  <c r="D105" i="1"/>
  <c r="D143" i="1"/>
  <c r="D179" i="1"/>
  <c r="D75" i="1"/>
  <c r="D138" i="1"/>
  <c r="D145" i="1"/>
  <c r="D149" i="1"/>
  <c r="D76" i="1"/>
  <c r="D92" i="1"/>
  <c r="D73" i="1"/>
  <c r="D89" i="1"/>
  <c r="D182" i="1"/>
  <c r="D139" i="1"/>
  <c r="D90" i="1"/>
  <c r="D108" i="1"/>
  <c r="D112" i="1"/>
  <c r="D148" i="1"/>
  <c r="D183" i="1"/>
  <c r="D187" i="1"/>
  <c r="D79" i="1"/>
  <c r="D93" i="1"/>
  <c r="D117" i="1"/>
  <c r="D131" i="1"/>
  <c r="D175" i="1"/>
  <c r="D192" i="1"/>
  <c r="D66" i="1"/>
  <c r="D87" i="1"/>
  <c r="D107" i="1"/>
  <c r="D111" i="1"/>
  <c r="D132" i="1"/>
  <c r="D186" i="1"/>
  <c r="D193" i="1"/>
  <c r="D67" i="1"/>
  <c r="D74" i="1"/>
  <c r="D88" i="1"/>
  <c r="D61" i="1"/>
  <c r="D68" i="1"/>
  <c r="D95" i="1"/>
  <c r="D102" i="1"/>
  <c r="D115" i="1"/>
  <c r="D133" i="1"/>
  <c r="D140" i="1"/>
  <c r="D146" i="1"/>
  <c r="D190" i="1"/>
  <c r="D194" i="1"/>
  <c r="D78" i="1"/>
  <c r="D96" i="1"/>
  <c r="D103" i="1"/>
  <c r="D116" i="1"/>
  <c r="D130" i="1"/>
  <c r="D147" i="1"/>
  <c r="D178" i="1"/>
  <c r="D185" i="1"/>
  <c r="D191" i="1"/>
  <c r="B2675" i="2" l="1"/>
  <c r="B2676" i="2" s="1"/>
  <c r="B2677" i="2" s="1"/>
  <c r="B2678" i="2" s="1"/>
  <c r="B2679" i="2" s="1"/>
  <c r="B2680" i="2" s="1"/>
  <c r="B2681" i="2" s="1"/>
  <c r="B2682" i="2" s="1"/>
  <c r="B2683" i="2" s="1"/>
  <c r="B2684" i="2" s="1"/>
  <c r="B2685" i="2" s="1"/>
  <c r="B2686" i="2" s="1"/>
  <c r="B2687" i="2" s="1"/>
  <c r="B2688" i="2" s="1"/>
  <c r="B2689" i="2" s="1"/>
  <c r="B2690" i="2" s="1"/>
  <c r="B2691" i="2" s="1"/>
  <c r="B2692" i="2" s="1"/>
  <c r="B2693" i="2" s="1"/>
  <c r="B2694" i="2" s="1"/>
  <c r="B2695" i="2" s="1"/>
  <c r="B2696" i="2" s="1"/>
  <c r="B2697" i="2" s="1"/>
  <c r="B2698" i="2" s="1"/>
  <c r="B2699" i="2" s="1"/>
  <c r="B2700" i="2" s="1"/>
  <c r="B2701" i="2" s="1"/>
  <c r="B2702" i="2" s="1"/>
  <c r="B2703" i="2" s="1"/>
  <c r="B2704" i="2" s="1"/>
  <c r="B2705" i="2" s="1"/>
  <c r="B2706" i="2" s="1"/>
  <c r="B2707" i="2" s="1"/>
  <c r="B2708" i="2" s="1"/>
  <c r="B2709" i="2" s="1"/>
  <c r="B2710" i="2" s="1"/>
  <c r="B2711" i="2" s="1"/>
  <c r="B2712" i="2" s="1"/>
  <c r="B2713" i="2" s="1"/>
  <c r="B2714" i="2" s="1"/>
  <c r="B2715" i="2" s="1"/>
  <c r="B2716" i="2" s="1"/>
  <c r="B2717" i="2" s="1"/>
  <c r="B2718" i="2" s="1"/>
  <c r="B2719" i="2" s="1"/>
  <c r="B2720" i="2" s="1"/>
  <c r="B2721" i="2" s="1"/>
  <c r="B2722" i="2" s="1"/>
  <c r="B2723" i="2" s="1"/>
  <c r="B2724" i="2" s="1"/>
  <c r="B2725" i="2" s="1"/>
  <c r="B2726" i="2" s="1"/>
  <c r="B2727" i="2" s="1"/>
  <c r="B2728" i="2" s="1"/>
  <c r="B2729" i="2" s="1"/>
  <c r="B2730" i="2" s="1"/>
  <c r="B2731" i="2" s="1"/>
  <c r="B2732" i="2" s="1"/>
  <c r="B2733" i="2" s="1"/>
  <c r="B2734" i="2" s="1"/>
  <c r="B2735" i="2" s="1"/>
</calcChain>
</file>

<file path=xl/sharedStrings.xml><?xml version="1.0" encoding="utf-8"?>
<sst xmlns="http://schemas.openxmlformats.org/spreadsheetml/2006/main" count="129" uniqueCount="38">
  <si>
    <t>Payment Date</t>
  </si>
  <si>
    <t>Interest</t>
  </si>
  <si>
    <t>Principal</t>
  </si>
  <si>
    <t>Flujo Total</t>
  </si>
  <si>
    <t>bpy26</t>
  </si>
  <si>
    <t>TZX26</t>
  </si>
  <si>
    <t>TZX27</t>
  </si>
  <si>
    <t>TZX28</t>
  </si>
  <si>
    <t>TZXO5</t>
  </si>
  <si>
    <t>TZXD5</t>
  </si>
  <si>
    <t>TZXM6</t>
  </si>
  <si>
    <t>TZXO6</t>
  </si>
  <si>
    <t>TZXD6</t>
  </si>
  <si>
    <t>TZXM7</t>
  </si>
  <si>
    <t>TZXD7</t>
  </si>
  <si>
    <t>TX25</t>
  </si>
  <si>
    <t>TX26</t>
  </si>
  <si>
    <t>TX28</t>
  </si>
  <si>
    <t>TX31</t>
  </si>
  <si>
    <t>DICP</t>
  </si>
  <si>
    <t>PARP</t>
  </si>
  <si>
    <t>CUAP</t>
  </si>
  <si>
    <t>TY30P</t>
  </si>
  <si>
    <t>TZXA7</t>
  </si>
  <si>
    <t>TZXY7</t>
  </si>
  <si>
    <t>X29Y6</t>
  </si>
  <si>
    <t>X30N6</t>
  </si>
  <si>
    <t>cer</t>
  </si>
  <si>
    <t>fecha</t>
  </si>
  <si>
    <t>Mes/Año</t>
  </si>
  <si>
    <t>REM</t>
  </si>
  <si>
    <t>Inflación Proy Balanz</t>
  </si>
  <si>
    <t>Comafi Base marzo</t>
  </si>
  <si>
    <t>Cer Balanz</t>
  </si>
  <si>
    <t>Cer Rem</t>
  </si>
  <si>
    <t>ene</t>
  </si>
  <si>
    <t>dic</t>
  </si>
  <si>
    <t>Cer Comafi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</si>
</sst>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dd/mm/yyyy"/>
    <numFmt numFmtId="165" formatCode="0.000"/>
    <numFmt numFmtId="166" formatCode="_-* #,##0.0000_-;\-* #,##0.0000_-;_-* &quot;-&quot;??_-;_-@_-"/>
    <numFmt numFmtId="167" formatCode="_-* #,##0.0000000_-;\-* #,##0.000000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3A70"/>
      <name val="Roboto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Helvetica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3A70"/>
      <name val="Roboto"/>
    </font>
    <font>
      <sz val="9"/>
      <color rgb="FF003A70"/>
      <name val="Roboto"/>
    </font>
    <font>
      <sz val="9"/>
      <color rgb="FF003A70"/>
      <name val="Roboto"/>
    </font>
    <font>
      <sz val="9"/>
      <color rgb="FF003A7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14" fontId="2" fillId="2" borderId="0" xfId="0" applyNumberFormat="1" applyFont="1" applyFill="1" applyAlignment="1">
      <alignment horizontal="left" vertical="center" wrapText="1" indent="1"/>
    </xf>
    <xf numFmtId="14" fontId="2" fillId="3" borderId="0" xfId="0" applyNumberFormat="1" applyFont="1" applyFill="1" applyAlignment="1">
      <alignment horizontal="left" vertical="center" wrapText="1" inden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14" fontId="6" fillId="0" borderId="5" xfId="0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14" fontId="6" fillId="0" borderId="0" xfId="0" applyNumberFormat="1" applyFont="1" applyAlignment="1">
      <alignment horizontal="right"/>
    </xf>
    <xf numFmtId="0" fontId="7" fillId="0" borderId="3" xfId="0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0" fontId="8" fillId="5" borderId="0" xfId="0" applyFont="1" applyFill="1" applyAlignment="1">
      <alignment horizontal="center" vertical="top"/>
    </xf>
    <xf numFmtId="165" fontId="7" fillId="0" borderId="4" xfId="0" applyNumberFormat="1" applyFont="1" applyBorder="1" applyAlignment="1">
      <alignment horizontal="right"/>
    </xf>
    <xf numFmtId="0" fontId="9" fillId="0" borderId="0" xfId="0" applyFont="1"/>
    <xf numFmtId="165" fontId="9" fillId="0" borderId="0" xfId="0" applyNumberFormat="1" applyFont="1"/>
    <xf numFmtId="0" fontId="3" fillId="0" borderId="1" xfId="0" applyFont="1" applyBorder="1"/>
    <xf numFmtId="14" fontId="0" fillId="0" borderId="0" xfId="0" applyNumberFormat="1"/>
    <xf numFmtId="0" fontId="10" fillId="0" borderId="0" xfId="0" applyFont="1"/>
    <xf numFmtId="14" fontId="11" fillId="2" borderId="0" xfId="0" applyNumberFormat="1" applyFont="1" applyFill="1" applyAlignment="1">
      <alignment horizontal="left" vertical="center" wrapText="1" indent="1"/>
    </xf>
    <xf numFmtId="14" fontId="11" fillId="3" borderId="0" xfId="0" applyNumberFormat="1" applyFont="1" applyFill="1" applyAlignment="1">
      <alignment horizontal="left" vertical="center" wrapText="1" indent="1"/>
    </xf>
    <xf numFmtId="14" fontId="12" fillId="2" borderId="0" xfId="0" applyNumberFormat="1" applyFont="1" applyFill="1" applyAlignment="1">
      <alignment horizontal="left" vertical="center" wrapText="1" indent="1"/>
    </xf>
    <xf numFmtId="14" fontId="12" fillId="3" borderId="0" xfId="0" applyNumberFormat="1" applyFont="1" applyFill="1" applyAlignment="1">
      <alignment horizontal="left" vertical="center" wrapText="1" indent="1"/>
    </xf>
    <xf numFmtId="14" fontId="13" fillId="3" borderId="0" xfId="0" applyNumberFormat="1" applyFont="1" applyFill="1" applyAlignment="1">
      <alignment horizontal="left" vertical="center" wrapText="1" indent="1"/>
    </xf>
    <xf numFmtId="14" fontId="13" fillId="2" borderId="0" xfId="0" applyNumberFormat="1" applyFont="1" applyFill="1" applyAlignment="1">
      <alignment horizontal="left" vertical="center" wrapText="1" indent="1"/>
    </xf>
    <xf numFmtId="0" fontId="10" fillId="0" borderId="6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10" fontId="0" fillId="6" borderId="0" xfId="2" applyNumberFormat="1" applyFont="1" applyFill="1" applyAlignment="1">
      <alignment horizontal="center"/>
    </xf>
    <xf numFmtId="0" fontId="0" fillId="0" borderId="0" xfId="0" applyAlignment="1">
      <alignment horizontal="center"/>
    </xf>
    <xf numFmtId="10" fontId="0" fillId="0" borderId="0" xfId="0" applyNumberFormat="1"/>
    <xf numFmtId="14" fontId="13" fillId="7" borderId="0" xfId="0" applyNumberFormat="1" applyFont="1" applyFill="1" applyAlignment="1">
      <alignment horizontal="left" vertical="center" wrapText="1" indent="1"/>
    </xf>
    <xf numFmtId="0" fontId="10" fillId="0" borderId="0" xfId="0" applyFont="1" applyAlignment="1">
      <alignment horizontal="center"/>
    </xf>
    <xf numFmtId="43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2" applyNumberFormat="1" applyFont="1"/>
    <xf numFmtId="166" fontId="0" fillId="0" borderId="0" xfId="1" applyNumberFormat="1" applyFont="1"/>
    <xf numFmtId="166" fontId="2" fillId="3" borderId="0" xfId="1" applyNumberFormat="1" applyFont="1" applyFill="1" applyAlignment="1">
      <alignment horizontal="left" vertical="center" wrapText="1" indent="1"/>
    </xf>
    <xf numFmtId="166" fontId="2" fillId="2" borderId="0" xfId="1" applyNumberFormat="1" applyFont="1" applyFill="1" applyAlignment="1">
      <alignment horizontal="left" vertical="center" wrapText="1" indent="1"/>
    </xf>
    <xf numFmtId="166" fontId="11" fillId="2" borderId="0" xfId="1" applyNumberFormat="1" applyFont="1" applyFill="1" applyAlignment="1">
      <alignment horizontal="left" vertical="center" wrapText="1" indent="1"/>
    </xf>
    <xf numFmtId="166" fontId="11" fillId="3" borderId="0" xfId="1" applyNumberFormat="1" applyFont="1" applyFill="1" applyAlignment="1">
      <alignment horizontal="left" vertical="center" wrapText="1" indent="1"/>
    </xf>
    <xf numFmtId="166" fontId="12" fillId="2" borderId="0" xfId="1" applyNumberFormat="1" applyFont="1" applyFill="1" applyAlignment="1">
      <alignment horizontal="left" vertical="center" wrapText="1" indent="1"/>
    </xf>
    <xf numFmtId="166" fontId="12" fillId="3" borderId="0" xfId="1" applyNumberFormat="1" applyFont="1" applyFill="1" applyAlignment="1">
      <alignment horizontal="left" vertical="center" wrapText="1" indent="1"/>
    </xf>
    <xf numFmtId="166" fontId="13" fillId="3" borderId="0" xfId="1" applyNumberFormat="1" applyFont="1" applyFill="1" applyAlignment="1">
      <alignment horizontal="left" vertical="center" wrapText="1" indent="1"/>
    </xf>
    <xf numFmtId="166" fontId="13" fillId="2" borderId="0" xfId="1" applyNumberFormat="1" applyFont="1" applyFill="1" applyAlignment="1">
      <alignment horizontal="left" vertical="center" wrapText="1" indent="1"/>
    </xf>
    <xf numFmtId="10" fontId="0" fillId="8" borderId="0" xfId="2" applyNumberFormat="1" applyFont="1" applyFill="1"/>
    <xf numFmtId="10" fontId="0" fillId="9" borderId="0" xfId="2" applyNumberFormat="1" applyFont="1" applyFill="1"/>
    <xf numFmtId="14" fontId="11" fillId="7" borderId="0" xfId="0" applyNumberFormat="1" applyFont="1" applyFill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4" fontId="14" fillId="2" borderId="0" xfId="0" applyNumberFormat="1" applyFont="1" applyFill="1" applyAlignment="1">
      <alignment horizontal="left" vertical="center" wrapText="1" indent="1"/>
    </xf>
    <xf numFmtId="0" fontId="14" fillId="2" borderId="0" xfId="0" applyFont="1" applyFill="1" applyAlignment="1">
      <alignment horizontal="left" vertical="center" wrapText="1" indent="1"/>
    </xf>
    <xf numFmtId="14" fontId="14" fillId="3" borderId="0" xfId="0" applyNumberFormat="1" applyFont="1" applyFill="1" applyAlignment="1">
      <alignment horizontal="left" vertical="center" wrapText="1" indent="1"/>
    </xf>
    <xf numFmtId="0" fontId="14" fillId="3" borderId="0" xfId="0" applyFont="1" applyFill="1" applyAlignment="1">
      <alignment horizontal="left" vertical="center" wrapText="1" inden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0784-F91E-4B31-AAC1-BAAEF41263FE}">
  <dimension ref="A1:F2827"/>
  <sheetViews>
    <sheetView tabSelected="1" topLeftCell="A2659" workbookViewId="0">
      <selection activeCell="G2675" sqref="G2675"/>
    </sheetView>
  </sheetViews>
  <sheetFormatPr baseColWidth="10" defaultRowHeight="14.4" x14ac:dyDescent="0.3"/>
  <cols>
    <col min="2" max="2" width="12.21875" style="35" bestFit="1" customWidth="1"/>
    <col min="3" max="3" width="11.5546875" style="32"/>
  </cols>
  <sheetData>
    <row r="1" spans="1:5" x14ac:dyDescent="0.3">
      <c r="A1" t="s">
        <v>28</v>
      </c>
      <c r="B1" s="35" t="s">
        <v>27</v>
      </c>
      <c r="C1" s="32" t="s">
        <v>33</v>
      </c>
      <c r="D1" t="s">
        <v>34</v>
      </c>
      <c r="E1" t="s">
        <v>37</v>
      </c>
    </row>
    <row r="2" spans="1:5" x14ac:dyDescent="0.3">
      <c r="A2" s="2">
        <v>37972</v>
      </c>
      <c r="B2" s="36">
        <v>1.4552</v>
      </c>
      <c r="C2" s="36">
        <v>1.4552</v>
      </c>
      <c r="D2" s="36">
        <v>1.4552</v>
      </c>
      <c r="E2" s="36">
        <v>1.4552</v>
      </c>
    </row>
    <row r="3" spans="1:5" x14ac:dyDescent="0.3">
      <c r="A3" s="1">
        <v>43486</v>
      </c>
      <c r="B3" s="37">
        <v>12.5906</v>
      </c>
      <c r="C3" s="37">
        <v>12.5906</v>
      </c>
      <c r="D3" s="37">
        <v>12.5906</v>
      </c>
      <c r="E3" s="37">
        <v>12.5906</v>
      </c>
    </row>
    <row r="4" spans="1:5" x14ac:dyDescent="0.3">
      <c r="A4" s="2">
        <v>43487</v>
      </c>
      <c r="B4" s="36">
        <v>12.601000000000001</v>
      </c>
      <c r="C4" s="36">
        <v>12.601000000000001</v>
      </c>
      <c r="D4" s="36">
        <v>12.601000000000001</v>
      </c>
      <c r="E4" s="36">
        <v>12.601000000000001</v>
      </c>
    </row>
    <row r="5" spans="1:5" x14ac:dyDescent="0.3">
      <c r="A5" s="1">
        <v>43488</v>
      </c>
      <c r="B5" s="37">
        <v>12.611499999999999</v>
      </c>
      <c r="C5" s="37">
        <v>12.611499999999999</v>
      </c>
      <c r="D5" s="37">
        <v>12.611499999999999</v>
      </c>
      <c r="E5" s="37">
        <v>12.611499999999999</v>
      </c>
    </row>
    <row r="6" spans="1:5" x14ac:dyDescent="0.3">
      <c r="A6" s="2">
        <v>43489</v>
      </c>
      <c r="B6" s="36">
        <v>12.6219</v>
      </c>
      <c r="C6" s="36">
        <v>12.6219</v>
      </c>
      <c r="D6" s="36">
        <v>12.6219</v>
      </c>
      <c r="E6" s="36">
        <v>12.6219</v>
      </c>
    </row>
    <row r="7" spans="1:5" x14ac:dyDescent="0.3">
      <c r="A7" s="1">
        <v>43490</v>
      </c>
      <c r="B7" s="37">
        <v>12.632400000000001</v>
      </c>
      <c r="C7" s="37">
        <v>12.632400000000001</v>
      </c>
      <c r="D7" s="37">
        <v>12.632400000000001</v>
      </c>
      <c r="E7" s="37">
        <v>12.632400000000001</v>
      </c>
    </row>
    <row r="8" spans="1:5" x14ac:dyDescent="0.3">
      <c r="A8" s="2">
        <v>43491</v>
      </c>
      <c r="B8" s="36">
        <v>12.642799999999999</v>
      </c>
      <c r="C8" s="36">
        <v>12.642799999999999</v>
      </c>
      <c r="D8" s="36">
        <v>12.642799999999999</v>
      </c>
      <c r="E8" s="36">
        <v>12.642799999999999</v>
      </c>
    </row>
    <row r="9" spans="1:5" x14ac:dyDescent="0.3">
      <c r="A9" s="1">
        <v>43492</v>
      </c>
      <c r="B9" s="37">
        <v>12.6533</v>
      </c>
      <c r="C9" s="37">
        <v>12.6533</v>
      </c>
      <c r="D9" s="37">
        <v>12.6533</v>
      </c>
      <c r="E9" s="37">
        <v>12.6533</v>
      </c>
    </row>
    <row r="10" spans="1:5" x14ac:dyDescent="0.3">
      <c r="A10" s="2">
        <v>43493</v>
      </c>
      <c r="B10" s="36">
        <v>12.6638</v>
      </c>
      <c r="C10" s="36">
        <v>12.6638</v>
      </c>
      <c r="D10" s="36">
        <v>12.6638</v>
      </c>
      <c r="E10" s="36">
        <v>12.6638</v>
      </c>
    </row>
    <row r="11" spans="1:5" x14ac:dyDescent="0.3">
      <c r="A11" s="1">
        <v>43494</v>
      </c>
      <c r="B11" s="37">
        <v>12.674300000000001</v>
      </c>
      <c r="C11" s="37">
        <v>12.674300000000001</v>
      </c>
      <c r="D11" s="37">
        <v>12.674300000000001</v>
      </c>
      <c r="E11" s="37">
        <v>12.674300000000001</v>
      </c>
    </row>
    <row r="12" spans="1:5" x14ac:dyDescent="0.3">
      <c r="A12" s="2">
        <v>43495</v>
      </c>
      <c r="B12" s="36">
        <v>12.684799999999999</v>
      </c>
      <c r="C12" s="36">
        <v>12.684799999999999</v>
      </c>
      <c r="D12" s="36">
        <v>12.684799999999999</v>
      </c>
      <c r="E12" s="36">
        <v>12.684799999999999</v>
      </c>
    </row>
    <row r="13" spans="1:5" x14ac:dyDescent="0.3">
      <c r="A13" s="1">
        <v>43496</v>
      </c>
      <c r="B13" s="37">
        <v>12.6953</v>
      </c>
      <c r="C13" s="37">
        <v>12.6953</v>
      </c>
      <c r="D13" s="37">
        <v>12.6953</v>
      </c>
      <c r="E13" s="37">
        <v>12.6953</v>
      </c>
    </row>
    <row r="14" spans="1:5" x14ac:dyDescent="0.3">
      <c r="A14" s="2">
        <v>43497</v>
      </c>
      <c r="B14" s="36">
        <v>12.7058</v>
      </c>
      <c r="C14" s="36">
        <v>12.7058</v>
      </c>
      <c r="D14" s="36">
        <v>12.7058</v>
      </c>
      <c r="E14" s="36">
        <v>12.7058</v>
      </c>
    </row>
    <row r="15" spans="1:5" x14ac:dyDescent="0.3">
      <c r="A15" s="1">
        <v>43498</v>
      </c>
      <c r="B15" s="37">
        <v>12.7163</v>
      </c>
      <c r="C15" s="37">
        <v>12.7163</v>
      </c>
      <c r="D15" s="37">
        <v>12.7163</v>
      </c>
      <c r="E15" s="37">
        <v>12.7163</v>
      </c>
    </row>
    <row r="16" spans="1:5" x14ac:dyDescent="0.3">
      <c r="A16" s="2">
        <v>43499</v>
      </c>
      <c r="B16" s="36">
        <v>12.726900000000001</v>
      </c>
      <c r="C16" s="36">
        <v>12.726900000000001</v>
      </c>
      <c r="D16" s="36">
        <v>12.726900000000001</v>
      </c>
      <c r="E16" s="36">
        <v>12.726900000000001</v>
      </c>
    </row>
    <row r="17" spans="1:5" x14ac:dyDescent="0.3">
      <c r="A17" s="1">
        <v>43500</v>
      </c>
      <c r="B17" s="37">
        <v>12.737399999999999</v>
      </c>
      <c r="C17" s="37">
        <v>12.737399999999999</v>
      </c>
      <c r="D17" s="37">
        <v>12.737399999999999</v>
      </c>
      <c r="E17" s="37">
        <v>12.737399999999999</v>
      </c>
    </row>
    <row r="18" spans="1:5" x14ac:dyDescent="0.3">
      <c r="A18" s="2">
        <v>43501</v>
      </c>
      <c r="B18" s="36">
        <v>12.7479</v>
      </c>
      <c r="C18" s="36">
        <v>12.7479</v>
      </c>
      <c r="D18" s="36">
        <v>12.7479</v>
      </c>
      <c r="E18" s="36">
        <v>12.7479</v>
      </c>
    </row>
    <row r="19" spans="1:5" x14ac:dyDescent="0.3">
      <c r="A19" s="1">
        <v>43502</v>
      </c>
      <c r="B19" s="37">
        <v>12.7585</v>
      </c>
      <c r="C19" s="37">
        <v>12.7585</v>
      </c>
      <c r="D19" s="37">
        <v>12.7585</v>
      </c>
      <c r="E19" s="37">
        <v>12.7585</v>
      </c>
    </row>
    <row r="20" spans="1:5" x14ac:dyDescent="0.3">
      <c r="A20" s="2">
        <v>43503</v>
      </c>
      <c r="B20" s="36">
        <v>12.7691</v>
      </c>
      <c r="C20" s="36">
        <v>12.7691</v>
      </c>
      <c r="D20" s="36">
        <v>12.7691</v>
      </c>
      <c r="E20" s="36">
        <v>12.7691</v>
      </c>
    </row>
    <row r="21" spans="1:5" x14ac:dyDescent="0.3">
      <c r="A21" s="1">
        <v>43504</v>
      </c>
      <c r="B21" s="37">
        <v>12.7797</v>
      </c>
      <c r="C21" s="37">
        <v>12.7797</v>
      </c>
      <c r="D21" s="37">
        <v>12.7797</v>
      </c>
      <c r="E21" s="37">
        <v>12.7797</v>
      </c>
    </row>
    <row r="22" spans="1:5" x14ac:dyDescent="0.3">
      <c r="A22" s="2">
        <v>43505</v>
      </c>
      <c r="B22" s="36">
        <v>12.7902</v>
      </c>
      <c r="C22" s="36">
        <v>12.7902</v>
      </c>
      <c r="D22" s="36">
        <v>12.7902</v>
      </c>
      <c r="E22" s="36">
        <v>12.7902</v>
      </c>
    </row>
    <row r="23" spans="1:5" x14ac:dyDescent="0.3">
      <c r="A23" s="1">
        <v>43506</v>
      </c>
      <c r="B23" s="37">
        <v>12.800800000000001</v>
      </c>
      <c r="C23" s="37">
        <v>12.800800000000001</v>
      </c>
      <c r="D23" s="37">
        <v>12.800800000000001</v>
      </c>
      <c r="E23" s="37">
        <v>12.800800000000001</v>
      </c>
    </row>
    <row r="24" spans="1:5" x14ac:dyDescent="0.3">
      <c r="A24" s="2">
        <v>43507</v>
      </c>
      <c r="B24" s="36">
        <v>12.811400000000001</v>
      </c>
      <c r="C24" s="36">
        <v>12.811400000000001</v>
      </c>
      <c r="D24" s="36">
        <v>12.811400000000001</v>
      </c>
      <c r="E24" s="36">
        <v>12.811400000000001</v>
      </c>
    </row>
    <row r="25" spans="1:5" x14ac:dyDescent="0.3">
      <c r="A25" s="1">
        <v>43508</v>
      </c>
      <c r="B25" s="37">
        <v>12.821999999999999</v>
      </c>
      <c r="C25" s="37">
        <v>12.821999999999999</v>
      </c>
      <c r="D25" s="37">
        <v>12.821999999999999</v>
      </c>
      <c r="E25" s="37">
        <v>12.821999999999999</v>
      </c>
    </row>
    <row r="26" spans="1:5" x14ac:dyDescent="0.3">
      <c r="A26" s="2">
        <v>43509</v>
      </c>
      <c r="B26" s="36">
        <v>12.832700000000001</v>
      </c>
      <c r="C26" s="36">
        <v>12.832700000000001</v>
      </c>
      <c r="D26" s="36">
        <v>12.832700000000001</v>
      </c>
      <c r="E26" s="36">
        <v>12.832700000000001</v>
      </c>
    </row>
    <row r="27" spans="1:5" x14ac:dyDescent="0.3">
      <c r="A27" s="1">
        <v>43510</v>
      </c>
      <c r="B27" s="37">
        <v>12.843299999999999</v>
      </c>
      <c r="C27" s="37">
        <v>12.843299999999999</v>
      </c>
      <c r="D27" s="37">
        <v>12.843299999999999</v>
      </c>
      <c r="E27" s="37">
        <v>12.843299999999999</v>
      </c>
    </row>
    <row r="28" spans="1:5" x14ac:dyDescent="0.3">
      <c r="A28" s="2">
        <v>43511</v>
      </c>
      <c r="B28" s="36">
        <v>12.853899999999999</v>
      </c>
      <c r="C28" s="36">
        <v>12.853899999999999</v>
      </c>
      <c r="D28" s="36">
        <v>12.853899999999999</v>
      </c>
      <c r="E28" s="36">
        <v>12.853899999999999</v>
      </c>
    </row>
    <row r="29" spans="1:5" x14ac:dyDescent="0.3">
      <c r="A29" s="1">
        <v>43512</v>
      </c>
      <c r="B29" s="37">
        <v>12.867100000000001</v>
      </c>
      <c r="C29" s="37">
        <v>12.867100000000001</v>
      </c>
      <c r="D29" s="37">
        <v>12.867100000000001</v>
      </c>
      <c r="E29" s="37">
        <v>12.867100000000001</v>
      </c>
    </row>
    <row r="30" spans="1:5" x14ac:dyDescent="0.3">
      <c r="A30" s="2">
        <v>43513</v>
      </c>
      <c r="B30" s="36">
        <v>12.8802</v>
      </c>
      <c r="C30" s="36">
        <v>12.8802</v>
      </c>
      <c r="D30" s="36">
        <v>12.8802</v>
      </c>
      <c r="E30" s="36">
        <v>12.8802</v>
      </c>
    </row>
    <row r="31" spans="1:5" x14ac:dyDescent="0.3">
      <c r="A31" s="1">
        <v>43514</v>
      </c>
      <c r="B31" s="37">
        <v>12.8934</v>
      </c>
      <c r="C31" s="37">
        <v>12.8934</v>
      </c>
      <c r="D31" s="37">
        <v>12.8934</v>
      </c>
      <c r="E31" s="37">
        <v>12.8934</v>
      </c>
    </row>
    <row r="32" spans="1:5" x14ac:dyDescent="0.3">
      <c r="A32" s="2">
        <v>43515</v>
      </c>
      <c r="B32" s="36">
        <v>12.906499999999999</v>
      </c>
      <c r="C32" s="36">
        <v>12.906499999999999</v>
      </c>
      <c r="D32" s="36">
        <v>12.906499999999999</v>
      </c>
      <c r="E32" s="36">
        <v>12.906499999999999</v>
      </c>
    </row>
    <row r="33" spans="1:5" x14ac:dyDescent="0.3">
      <c r="A33" s="1">
        <v>43516</v>
      </c>
      <c r="B33" s="37">
        <v>12.919700000000001</v>
      </c>
      <c r="C33" s="37">
        <v>12.919700000000001</v>
      </c>
      <c r="D33" s="37">
        <v>12.919700000000001</v>
      </c>
      <c r="E33" s="37">
        <v>12.919700000000001</v>
      </c>
    </row>
    <row r="34" spans="1:5" x14ac:dyDescent="0.3">
      <c r="A34" s="2">
        <v>43517</v>
      </c>
      <c r="B34" s="36">
        <v>12.9329</v>
      </c>
      <c r="C34" s="36">
        <v>12.9329</v>
      </c>
      <c r="D34" s="36">
        <v>12.9329</v>
      </c>
      <c r="E34" s="36">
        <v>12.9329</v>
      </c>
    </row>
    <row r="35" spans="1:5" x14ac:dyDescent="0.3">
      <c r="A35" s="1">
        <v>43518</v>
      </c>
      <c r="B35" s="37">
        <v>12.946099999999999</v>
      </c>
      <c r="C35" s="37">
        <v>12.946099999999999</v>
      </c>
      <c r="D35" s="37">
        <v>12.946099999999999</v>
      </c>
      <c r="E35" s="37">
        <v>12.946099999999999</v>
      </c>
    </row>
    <row r="36" spans="1:5" x14ac:dyDescent="0.3">
      <c r="A36" s="2">
        <v>43519</v>
      </c>
      <c r="B36" s="36">
        <v>12.9594</v>
      </c>
      <c r="C36" s="36">
        <v>12.9594</v>
      </c>
      <c r="D36" s="36">
        <v>12.9594</v>
      </c>
      <c r="E36" s="36">
        <v>12.9594</v>
      </c>
    </row>
    <row r="37" spans="1:5" x14ac:dyDescent="0.3">
      <c r="A37" s="1">
        <v>43520</v>
      </c>
      <c r="B37" s="37">
        <v>12.9726</v>
      </c>
      <c r="C37" s="37">
        <v>12.9726</v>
      </c>
      <c r="D37" s="37">
        <v>12.9726</v>
      </c>
      <c r="E37" s="37">
        <v>12.9726</v>
      </c>
    </row>
    <row r="38" spans="1:5" x14ac:dyDescent="0.3">
      <c r="A38" s="2">
        <v>43521</v>
      </c>
      <c r="B38" s="36">
        <v>12.985799999999999</v>
      </c>
      <c r="C38" s="36">
        <v>12.985799999999999</v>
      </c>
      <c r="D38" s="36">
        <v>12.985799999999999</v>
      </c>
      <c r="E38" s="36">
        <v>12.985799999999999</v>
      </c>
    </row>
    <row r="39" spans="1:5" x14ac:dyDescent="0.3">
      <c r="A39" s="1">
        <v>43522</v>
      </c>
      <c r="B39" s="37">
        <v>12.9991</v>
      </c>
      <c r="C39" s="37">
        <v>12.9991</v>
      </c>
      <c r="D39" s="37">
        <v>12.9991</v>
      </c>
      <c r="E39" s="37">
        <v>12.9991</v>
      </c>
    </row>
    <row r="40" spans="1:5" x14ac:dyDescent="0.3">
      <c r="A40" s="2">
        <v>43523</v>
      </c>
      <c r="B40" s="36">
        <v>13.0124</v>
      </c>
      <c r="C40" s="36">
        <v>13.0124</v>
      </c>
      <c r="D40" s="36">
        <v>13.0124</v>
      </c>
      <c r="E40" s="36">
        <v>13.0124</v>
      </c>
    </row>
    <row r="41" spans="1:5" x14ac:dyDescent="0.3">
      <c r="A41" s="1">
        <v>43524</v>
      </c>
      <c r="B41" s="37">
        <v>13.025700000000001</v>
      </c>
      <c r="C41" s="37">
        <v>13.025700000000001</v>
      </c>
      <c r="D41" s="37">
        <v>13.025700000000001</v>
      </c>
      <c r="E41" s="37">
        <v>13.025700000000001</v>
      </c>
    </row>
    <row r="42" spans="1:5" x14ac:dyDescent="0.3">
      <c r="A42" s="2">
        <v>43525</v>
      </c>
      <c r="B42" s="36">
        <v>13.039</v>
      </c>
      <c r="C42" s="36">
        <v>13.039</v>
      </c>
      <c r="D42" s="36">
        <v>13.039</v>
      </c>
      <c r="E42" s="36">
        <v>13.039</v>
      </c>
    </row>
    <row r="43" spans="1:5" x14ac:dyDescent="0.3">
      <c r="A43" s="1">
        <v>43526</v>
      </c>
      <c r="B43" s="37">
        <v>13.052300000000001</v>
      </c>
      <c r="C43" s="37">
        <v>13.052300000000001</v>
      </c>
      <c r="D43" s="37">
        <v>13.052300000000001</v>
      </c>
      <c r="E43" s="37">
        <v>13.052300000000001</v>
      </c>
    </row>
    <row r="44" spans="1:5" x14ac:dyDescent="0.3">
      <c r="A44" s="2">
        <v>43527</v>
      </c>
      <c r="B44" s="36">
        <v>13.0656</v>
      </c>
      <c r="C44" s="36">
        <v>13.0656</v>
      </c>
      <c r="D44" s="36">
        <v>13.0656</v>
      </c>
      <c r="E44" s="36">
        <v>13.0656</v>
      </c>
    </row>
    <row r="45" spans="1:5" x14ac:dyDescent="0.3">
      <c r="A45" s="1">
        <v>43528</v>
      </c>
      <c r="B45" s="37">
        <v>13.079000000000001</v>
      </c>
      <c r="C45" s="37">
        <v>13.079000000000001</v>
      </c>
      <c r="D45" s="37">
        <v>13.079000000000001</v>
      </c>
      <c r="E45" s="37">
        <v>13.079000000000001</v>
      </c>
    </row>
    <row r="46" spans="1:5" x14ac:dyDescent="0.3">
      <c r="A46" s="2">
        <v>43529</v>
      </c>
      <c r="B46" s="36">
        <v>13.0923</v>
      </c>
      <c r="C46" s="36">
        <v>13.0923</v>
      </c>
      <c r="D46" s="36">
        <v>13.0923</v>
      </c>
      <c r="E46" s="36">
        <v>13.0923</v>
      </c>
    </row>
    <row r="47" spans="1:5" x14ac:dyDescent="0.3">
      <c r="A47" s="1">
        <v>43530</v>
      </c>
      <c r="B47" s="37">
        <v>13.105700000000001</v>
      </c>
      <c r="C47" s="37">
        <v>13.105700000000001</v>
      </c>
      <c r="D47" s="37">
        <v>13.105700000000001</v>
      </c>
      <c r="E47" s="37">
        <v>13.105700000000001</v>
      </c>
    </row>
    <row r="48" spans="1:5" x14ac:dyDescent="0.3">
      <c r="A48" s="2">
        <v>43531</v>
      </c>
      <c r="B48" s="36">
        <v>13.1191</v>
      </c>
      <c r="C48" s="36">
        <v>13.1191</v>
      </c>
      <c r="D48" s="36">
        <v>13.1191</v>
      </c>
      <c r="E48" s="36">
        <v>13.1191</v>
      </c>
    </row>
    <row r="49" spans="1:5" x14ac:dyDescent="0.3">
      <c r="A49" s="1">
        <v>43532</v>
      </c>
      <c r="B49" s="37">
        <v>13.1325</v>
      </c>
      <c r="C49" s="37">
        <v>13.1325</v>
      </c>
      <c r="D49" s="37">
        <v>13.1325</v>
      </c>
      <c r="E49" s="37">
        <v>13.1325</v>
      </c>
    </row>
    <row r="50" spans="1:5" x14ac:dyDescent="0.3">
      <c r="A50" s="2">
        <v>43533</v>
      </c>
      <c r="B50" s="36">
        <v>13.145899999999999</v>
      </c>
      <c r="C50" s="36">
        <v>13.145899999999999</v>
      </c>
      <c r="D50" s="36">
        <v>13.145899999999999</v>
      </c>
      <c r="E50" s="36">
        <v>13.145899999999999</v>
      </c>
    </row>
    <row r="51" spans="1:5" x14ac:dyDescent="0.3">
      <c r="A51" s="1">
        <v>43534</v>
      </c>
      <c r="B51" s="37">
        <v>13.1594</v>
      </c>
      <c r="C51" s="37">
        <v>13.1594</v>
      </c>
      <c r="D51" s="37">
        <v>13.1594</v>
      </c>
      <c r="E51" s="37">
        <v>13.1594</v>
      </c>
    </row>
    <row r="52" spans="1:5" x14ac:dyDescent="0.3">
      <c r="A52" s="2">
        <v>43535</v>
      </c>
      <c r="B52" s="36">
        <v>13.172800000000001</v>
      </c>
      <c r="C52" s="36">
        <v>13.172800000000001</v>
      </c>
      <c r="D52" s="36">
        <v>13.172800000000001</v>
      </c>
      <c r="E52" s="36">
        <v>13.172800000000001</v>
      </c>
    </row>
    <row r="53" spans="1:5" x14ac:dyDescent="0.3">
      <c r="A53" s="1">
        <v>43536</v>
      </c>
      <c r="B53" s="37">
        <v>13.186299999999999</v>
      </c>
      <c r="C53" s="37">
        <v>13.186299999999999</v>
      </c>
      <c r="D53" s="37">
        <v>13.186299999999999</v>
      </c>
      <c r="E53" s="37">
        <v>13.186299999999999</v>
      </c>
    </row>
    <row r="54" spans="1:5" x14ac:dyDescent="0.3">
      <c r="A54" s="2">
        <v>43537</v>
      </c>
      <c r="B54" s="36">
        <v>13.1997</v>
      </c>
      <c r="C54" s="36">
        <v>13.1997</v>
      </c>
      <c r="D54" s="36">
        <v>13.1997</v>
      </c>
      <c r="E54" s="36">
        <v>13.1997</v>
      </c>
    </row>
    <row r="55" spans="1:5" x14ac:dyDescent="0.3">
      <c r="A55" s="1">
        <v>43538</v>
      </c>
      <c r="B55" s="37">
        <v>13.213200000000001</v>
      </c>
      <c r="C55" s="37">
        <v>13.213200000000001</v>
      </c>
      <c r="D55" s="37">
        <v>13.213200000000001</v>
      </c>
      <c r="E55" s="37">
        <v>13.213200000000001</v>
      </c>
    </row>
    <row r="56" spans="1:5" x14ac:dyDescent="0.3">
      <c r="A56" s="2">
        <v>43539</v>
      </c>
      <c r="B56" s="36">
        <v>13.226699999999999</v>
      </c>
      <c r="C56" s="36">
        <v>13.226699999999999</v>
      </c>
      <c r="D56" s="36">
        <v>13.226699999999999</v>
      </c>
      <c r="E56" s="36">
        <v>13.226699999999999</v>
      </c>
    </row>
    <row r="57" spans="1:5" x14ac:dyDescent="0.3">
      <c r="A57" s="1">
        <v>43540</v>
      </c>
      <c r="B57" s="37">
        <v>13.242599999999999</v>
      </c>
      <c r="C57" s="37">
        <v>13.242599999999999</v>
      </c>
      <c r="D57" s="37">
        <v>13.242599999999999</v>
      </c>
      <c r="E57" s="37">
        <v>13.242599999999999</v>
      </c>
    </row>
    <row r="58" spans="1:5" x14ac:dyDescent="0.3">
      <c r="A58" s="2">
        <v>43541</v>
      </c>
      <c r="B58" s="36">
        <v>13.258599999999999</v>
      </c>
      <c r="C58" s="36">
        <v>13.258599999999999</v>
      </c>
      <c r="D58" s="36">
        <v>13.258599999999999</v>
      </c>
      <c r="E58" s="36">
        <v>13.258599999999999</v>
      </c>
    </row>
    <row r="59" spans="1:5" x14ac:dyDescent="0.3">
      <c r="A59" s="1">
        <v>43542</v>
      </c>
      <c r="B59" s="37">
        <v>13.2745</v>
      </c>
      <c r="C59" s="37">
        <v>13.2745</v>
      </c>
      <c r="D59" s="37">
        <v>13.2745</v>
      </c>
      <c r="E59" s="37">
        <v>13.2745</v>
      </c>
    </row>
    <row r="60" spans="1:5" x14ac:dyDescent="0.3">
      <c r="A60" s="2">
        <v>43543</v>
      </c>
      <c r="B60" s="36">
        <v>13.2905</v>
      </c>
      <c r="C60" s="36">
        <v>13.2905</v>
      </c>
      <c r="D60" s="36">
        <v>13.2905</v>
      </c>
      <c r="E60" s="36">
        <v>13.2905</v>
      </c>
    </row>
    <row r="61" spans="1:5" x14ac:dyDescent="0.3">
      <c r="A61" s="1">
        <v>43544</v>
      </c>
      <c r="B61" s="37">
        <v>13.3065</v>
      </c>
      <c r="C61" s="37">
        <v>13.3065</v>
      </c>
      <c r="D61" s="37">
        <v>13.3065</v>
      </c>
      <c r="E61" s="37">
        <v>13.3065</v>
      </c>
    </row>
    <row r="62" spans="1:5" x14ac:dyDescent="0.3">
      <c r="A62" s="2">
        <v>43545</v>
      </c>
      <c r="B62" s="36">
        <v>13.3225</v>
      </c>
      <c r="C62" s="36">
        <v>13.3225</v>
      </c>
      <c r="D62" s="36">
        <v>13.3225</v>
      </c>
      <c r="E62" s="36">
        <v>13.3225</v>
      </c>
    </row>
    <row r="63" spans="1:5" x14ac:dyDescent="0.3">
      <c r="A63" s="1">
        <v>43546</v>
      </c>
      <c r="B63" s="37">
        <v>13.3386</v>
      </c>
      <c r="C63" s="37">
        <v>13.3386</v>
      </c>
      <c r="D63" s="37">
        <v>13.3386</v>
      </c>
      <c r="E63" s="37">
        <v>13.3386</v>
      </c>
    </row>
    <row r="64" spans="1:5" x14ac:dyDescent="0.3">
      <c r="A64" s="2">
        <v>43547</v>
      </c>
      <c r="B64" s="36">
        <v>13.3546</v>
      </c>
      <c r="C64" s="36">
        <v>13.3546</v>
      </c>
      <c r="D64" s="36">
        <v>13.3546</v>
      </c>
      <c r="E64" s="36">
        <v>13.3546</v>
      </c>
    </row>
    <row r="65" spans="1:5" x14ac:dyDescent="0.3">
      <c r="A65" s="1">
        <v>43548</v>
      </c>
      <c r="B65" s="37">
        <v>13.370699999999999</v>
      </c>
      <c r="C65" s="37">
        <v>13.370699999999999</v>
      </c>
      <c r="D65" s="37">
        <v>13.370699999999999</v>
      </c>
      <c r="E65" s="37">
        <v>13.370699999999999</v>
      </c>
    </row>
    <row r="66" spans="1:5" x14ac:dyDescent="0.3">
      <c r="A66" s="2">
        <v>43549</v>
      </c>
      <c r="B66" s="36">
        <v>13.386799999999999</v>
      </c>
      <c r="C66" s="36">
        <v>13.386799999999999</v>
      </c>
      <c r="D66" s="36">
        <v>13.386799999999999</v>
      </c>
      <c r="E66" s="36">
        <v>13.386799999999999</v>
      </c>
    </row>
    <row r="67" spans="1:5" x14ac:dyDescent="0.3">
      <c r="A67" s="1">
        <v>43550</v>
      </c>
      <c r="B67" s="37">
        <v>13.402900000000001</v>
      </c>
      <c r="C67" s="37">
        <v>13.402900000000001</v>
      </c>
      <c r="D67" s="37">
        <v>13.402900000000001</v>
      </c>
      <c r="E67" s="37">
        <v>13.402900000000001</v>
      </c>
    </row>
    <row r="68" spans="1:5" x14ac:dyDescent="0.3">
      <c r="A68" s="2">
        <v>43551</v>
      </c>
      <c r="B68" s="36">
        <v>13.419</v>
      </c>
      <c r="C68" s="36">
        <v>13.419</v>
      </c>
      <c r="D68" s="36">
        <v>13.419</v>
      </c>
      <c r="E68" s="36">
        <v>13.419</v>
      </c>
    </row>
    <row r="69" spans="1:5" x14ac:dyDescent="0.3">
      <c r="A69" s="1">
        <v>43552</v>
      </c>
      <c r="B69" s="37">
        <v>13.4352</v>
      </c>
      <c r="C69" s="37">
        <v>13.4352</v>
      </c>
      <c r="D69" s="37">
        <v>13.4352</v>
      </c>
      <c r="E69" s="37">
        <v>13.4352</v>
      </c>
    </row>
    <row r="70" spans="1:5" x14ac:dyDescent="0.3">
      <c r="A70" s="2">
        <v>43553</v>
      </c>
      <c r="B70" s="36">
        <v>13.4514</v>
      </c>
      <c r="C70" s="36">
        <v>13.4514</v>
      </c>
      <c r="D70" s="36">
        <v>13.4514</v>
      </c>
      <c r="E70" s="36">
        <v>13.4514</v>
      </c>
    </row>
    <row r="71" spans="1:5" x14ac:dyDescent="0.3">
      <c r="A71" s="1">
        <v>43554</v>
      </c>
      <c r="B71" s="37">
        <v>13.467599999999999</v>
      </c>
      <c r="C71" s="37">
        <v>13.467599999999999</v>
      </c>
      <c r="D71" s="37">
        <v>13.467599999999999</v>
      </c>
      <c r="E71" s="37">
        <v>13.467599999999999</v>
      </c>
    </row>
    <row r="72" spans="1:5" x14ac:dyDescent="0.3">
      <c r="A72" s="2">
        <v>43555</v>
      </c>
      <c r="B72" s="36">
        <v>13.4838</v>
      </c>
      <c r="C72" s="36">
        <v>13.4838</v>
      </c>
      <c r="D72" s="36">
        <v>13.4838</v>
      </c>
      <c r="E72" s="36">
        <v>13.4838</v>
      </c>
    </row>
    <row r="73" spans="1:5" x14ac:dyDescent="0.3">
      <c r="A73" s="1">
        <v>43556</v>
      </c>
      <c r="B73" s="37">
        <v>13.5</v>
      </c>
      <c r="C73" s="37">
        <v>13.5</v>
      </c>
      <c r="D73" s="37">
        <v>13.5</v>
      </c>
      <c r="E73" s="37">
        <v>13.5</v>
      </c>
    </row>
    <row r="74" spans="1:5" x14ac:dyDescent="0.3">
      <c r="A74" s="2">
        <v>43557</v>
      </c>
      <c r="B74" s="36">
        <v>13.516299999999999</v>
      </c>
      <c r="C74" s="36">
        <v>13.516299999999999</v>
      </c>
      <c r="D74" s="36">
        <v>13.516299999999999</v>
      </c>
      <c r="E74" s="36">
        <v>13.516299999999999</v>
      </c>
    </row>
    <row r="75" spans="1:5" x14ac:dyDescent="0.3">
      <c r="A75" s="1">
        <v>43558</v>
      </c>
      <c r="B75" s="37">
        <v>13.532500000000001</v>
      </c>
      <c r="C75" s="37">
        <v>13.532500000000001</v>
      </c>
      <c r="D75" s="37">
        <v>13.532500000000001</v>
      </c>
      <c r="E75" s="37">
        <v>13.532500000000001</v>
      </c>
    </row>
    <row r="76" spans="1:5" x14ac:dyDescent="0.3">
      <c r="A76" s="2">
        <v>43559</v>
      </c>
      <c r="B76" s="36">
        <v>13.5488</v>
      </c>
      <c r="C76" s="36">
        <v>13.5488</v>
      </c>
      <c r="D76" s="36">
        <v>13.5488</v>
      </c>
      <c r="E76" s="36">
        <v>13.5488</v>
      </c>
    </row>
    <row r="77" spans="1:5" x14ac:dyDescent="0.3">
      <c r="A77" s="1">
        <v>43560</v>
      </c>
      <c r="B77" s="37">
        <v>13.565099999999999</v>
      </c>
      <c r="C77" s="37">
        <v>13.565099999999999</v>
      </c>
      <c r="D77" s="37">
        <v>13.565099999999999</v>
      </c>
      <c r="E77" s="37">
        <v>13.565099999999999</v>
      </c>
    </row>
    <row r="78" spans="1:5" x14ac:dyDescent="0.3">
      <c r="A78" s="2">
        <v>43561</v>
      </c>
      <c r="B78" s="36">
        <v>13.5815</v>
      </c>
      <c r="C78" s="36">
        <v>13.5815</v>
      </c>
      <c r="D78" s="36">
        <v>13.5815</v>
      </c>
      <c r="E78" s="36">
        <v>13.5815</v>
      </c>
    </row>
    <row r="79" spans="1:5" x14ac:dyDescent="0.3">
      <c r="A79" s="1">
        <v>43562</v>
      </c>
      <c r="B79" s="37">
        <v>13.597799999999999</v>
      </c>
      <c r="C79" s="37">
        <v>13.597799999999999</v>
      </c>
      <c r="D79" s="37">
        <v>13.597799999999999</v>
      </c>
      <c r="E79" s="37">
        <v>13.597799999999999</v>
      </c>
    </row>
    <row r="80" spans="1:5" x14ac:dyDescent="0.3">
      <c r="A80" s="2">
        <v>43563</v>
      </c>
      <c r="B80" s="36">
        <v>13.6142</v>
      </c>
      <c r="C80" s="36">
        <v>13.6142</v>
      </c>
      <c r="D80" s="36">
        <v>13.6142</v>
      </c>
      <c r="E80" s="36">
        <v>13.6142</v>
      </c>
    </row>
    <row r="81" spans="1:5" x14ac:dyDescent="0.3">
      <c r="A81" s="1">
        <v>43564</v>
      </c>
      <c r="B81" s="37">
        <v>13.630599999999999</v>
      </c>
      <c r="C81" s="37">
        <v>13.630599999999999</v>
      </c>
      <c r="D81" s="37">
        <v>13.630599999999999</v>
      </c>
      <c r="E81" s="37">
        <v>13.630599999999999</v>
      </c>
    </row>
    <row r="82" spans="1:5" x14ac:dyDescent="0.3">
      <c r="A82" s="2">
        <v>43565</v>
      </c>
      <c r="B82" s="36">
        <v>13.647</v>
      </c>
      <c r="C82" s="36">
        <v>13.647</v>
      </c>
      <c r="D82" s="36">
        <v>13.647</v>
      </c>
      <c r="E82" s="36">
        <v>13.647</v>
      </c>
    </row>
    <row r="83" spans="1:5" x14ac:dyDescent="0.3">
      <c r="A83" s="1">
        <v>43566</v>
      </c>
      <c r="B83" s="37">
        <v>13.663399999999999</v>
      </c>
      <c r="C83" s="37">
        <v>13.663399999999999</v>
      </c>
      <c r="D83" s="37">
        <v>13.663399999999999</v>
      </c>
      <c r="E83" s="37">
        <v>13.663399999999999</v>
      </c>
    </row>
    <row r="84" spans="1:5" x14ac:dyDescent="0.3">
      <c r="A84" s="2">
        <v>43567</v>
      </c>
      <c r="B84" s="36">
        <v>13.6799</v>
      </c>
      <c r="C84" s="36">
        <v>13.6799</v>
      </c>
      <c r="D84" s="36">
        <v>13.6799</v>
      </c>
      <c r="E84" s="36">
        <v>13.6799</v>
      </c>
    </row>
    <row r="85" spans="1:5" x14ac:dyDescent="0.3">
      <c r="A85" s="1">
        <v>43568</v>
      </c>
      <c r="B85" s="37">
        <v>13.696300000000001</v>
      </c>
      <c r="C85" s="37">
        <v>13.696300000000001</v>
      </c>
      <c r="D85" s="37">
        <v>13.696300000000001</v>
      </c>
      <c r="E85" s="37">
        <v>13.696300000000001</v>
      </c>
    </row>
    <row r="86" spans="1:5" x14ac:dyDescent="0.3">
      <c r="A86" s="2">
        <v>43569</v>
      </c>
      <c r="B86" s="36">
        <v>13.7128</v>
      </c>
      <c r="C86" s="36">
        <v>13.7128</v>
      </c>
      <c r="D86" s="36">
        <v>13.7128</v>
      </c>
      <c r="E86" s="36">
        <v>13.7128</v>
      </c>
    </row>
    <row r="87" spans="1:5" x14ac:dyDescent="0.3">
      <c r="A87" s="1">
        <v>43570</v>
      </c>
      <c r="B87" s="37">
        <v>13.7293</v>
      </c>
      <c r="C87" s="37">
        <v>13.7293</v>
      </c>
      <c r="D87" s="37">
        <v>13.7293</v>
      </c>
      <c r="E87" s="37">
        <v>13.7293</v>
      </c>
    </row>
    <row r="88" spans="1:5" x14ac:dyDescent="0.3">
      <c r="A88" s="2">
        <v>43571</v>
      </c>
      <c r="B88" s="36">
        <v>13.750400000000001</v>
      </c>
      <c r="C88" s="36">
        <v>13.750400000000001</v>
      </c>
      <c r="D88" s="36">
        <v>13.750400000000001</v>
      </c>
      <c r="E88" s="36">
        <v>13.750400000000001</v>
      </c>
    </row>
    <row r="89" spans="1:5" x14ac:dyDescent="0.3">
      <c r="A89" s="1">
        <v>43572</v>
      </c>
      <c r="B89" s="37">
        <v>13.7714</v>
      </c>
      <c r="C89" s="37">
        <v>13.7714</v>
      </c>
      <c r="D89" s="37">
        <v>13.7714</v>
      </c>
      <c r="E89" s="37">
        <v>13.7714</v>
      </c>
    </row>
    <row r="90" spans="1:5" x14ac:dyDescent="0.3">
      <c r="A90" s="2">
        <v>43573</v>
      </c>
      <c r="B90" s="36">
        <v>13.7925</v>
      </c>
      <c r="C90" s="36">
        <v>13.7925</v>
      </c>
      <c r="D90" s="36">
        <v>13.7925</v>
      </c>
      <c r="E90" s="36">
        <v>13.7925</v>
      </c>
    </row>
    <row r="91" spans="1:5" x14ac:dyDescent="0.3">
      <c r="A91" s="1">
        <v>43574</v>
      </c>
      <c r="B91" s="37">
        <v>13.813700000000001</v>
      </c>
      <c r="C91" s="37">
        <v>13.813700000000001</v>
      </c>
      <c r="D91" s="37">
        <v>13.813700000000001</v>
      </c>
      <c r="E91" s="37">
        <v>13.813700000000001</v>
      </c>
    </row>
    <row r="92" spans="1:5" x14ac:dyDescent="0.3">
      <c r="A92" s="2">
        <v>43575</v>
      </c>
      <c r="B92" s="36">
        <v>13.8348</v>
      </c>
      <c r="C92" s="36">
        <v>13.8348</v>
      </c>
      <c r="D92" s="36">
        <v>13.8348</v>
      </c>
      <c r="E92" s="36">
        <v>13.8348</v>
      </c>
    </row>
    <row r="93" spans="1:5" x14ac:dyDescent="0.3">
      <c r="A93" s="1">
        <v>43576</v>
      </c>
      <c r="B93" s="37">
        <v>13.856</v>
      </c>
      <c r="C93" s="37">
        <v>13.856</v>
      </c>
      <c r="D93" s="37">
        <v>13.856</v>
      </c>
      <c r="E93" s="37">
        <v>13.856</v>
      </c>
    </row>
    <row r="94" spans="1:5" x14ac:dyDescent="0.3">
      <c r="A94" s="2">
        <v>43577</v>
      </c>
      <c r="B94" s="36">
        <v>13.8772</v>
      </c>
      <c r="C94" s="36">
        <v>13.8772</v>
      </c>
      <c r="D94" s="36">
        <v>13.8772</v>
      </c>
      <c r="E94" s="36">
        <v>13.8772</v>
      </c>
    </row>
    <row r="95" spans="1:5" x14ac:dyDescent="0.3">
      <c r="A95" s="1">
        <v>43578</v>
      </c>
      <c r="B95" s="37">
        <v>13.8985</v>
      </c>
      <c r="C95" s="37">
        <v>13.8985</v>
      </c>
      <c r="D95" s="37">
        <v>13.8985</v>
      </c>
      <c r="E95" s="37">
        <v>13.8985</v>
      </c>
    </row>
    <row r="96" spans="1:5" x14ac:dyDescent="0.3">
      <c r="A96" s="2">
        <v>43579</v>
      </c>
      <c r="B96" s="36">
        <v>13.9198</v>
      </c>
      <c r="C96" s="36">
        <v>13.9198</v>
      </c>
      <c r="D96" s="36">
        <v>13.9198</v>
      </c>
      <c r="E96" s="36">
        <v>13.9198</v>
      </c>
    </row>
    <row r="97" spans="1:5" x14ac:dyDescent="0.3">
      <c r="A97" s="1">
        <v>43580</v>
      </c>
      <c r="B97" s="37">
        <v>13.9411</v>
      </c>
      <c r="C97" s="37">
        <v>13.9411</v>
      </c>
      <c r="D97" s="37">
        <v>13.9411</v>
      </c>
      <c r="E97" s="37">
        <v>13.9411</v>
      </c>
    </row>
    <row r="98" spans="1:5" x14ac:dyDescent="0.3">
      <c r="A98" s="2">
        <v>43581</v>
      </c>
      <c r="B98" s="36">
        <v>13.9625</v>
      </c>
      <c r="C98" s="36">
        <v>13.9625</v>
      </c>
      <c r="D98" s="36">
        <v>13.9625</v>
      </c>
      <c r="E98" s="36">
        <v>13.9625</v>
      </c>
    </row>
    <row r="99" spans="1:5" x14ac:dyDescent="0.3">
      <c r="A99" s="1">
        <v>43582</v>
      </c>
      <c r="B99" s="37">
        <v>13.9839</v>
      </c>
      <c r="C99" s="37">
        <v>13.9839</v>
      </c>
      <c r="D99" s="37">
        <v>13.9839</v>
      </c>
      <c r="E99" s="37">
        <v>13.9839</v>
      </c>
    </row>
    <row r="100" spans="1:5" x14ac:dyDescent="0.3">
      <c r="A100" s="2">
        <v>43583</v>
      </c>
      <c r="B100" s="36">
        <v>14.0053</v>
      </c>
      <c r="C100" s="36">
        <v>14.0053</v>
      </c>
      <c r="D100" s="36">
        <v>14.0053</v>
      </c>
      <c r="E100" s="36">
        <v>14.0053</v>
      </c>
    </row>
    <row r="101" spans="1:5" x14ac:dyDescent="0.3">
      <c r="A101" s="1">
        <v>43584</v>
      </c>
      <c r="B101" s="37">
        <v>14.0268</v>
      </c>
      <c r="C101" s="37">
        <v>14.0268</v>
      </c>
      <c r="D101" s="37">
        <v>14.0268</v>
      </c>
      <c r="E101" s="37">
        <v>14.0268</v>
      </c>
    </row>
    <row r="102" spans="1:5" x14ac:dyDescent="0.3">
      <c r="A102" s="2">
        <v>43585</v>
      </c>
      <c r="B102" s="36">
        <v>14.048299999999999</v>
      </c>
      <c r="C102" s="36">
        <v>14.048299999999999</v>
      </c>
      <c r="D102" s="36">
        <v>14.048299999999999</v>
      </c>
      <c r="E102" s="36">
        <v>14.048299999999999</v>
      </c>
    </row>
    <row r="103" spans="1:5" x14ac:dyDescent="0.3">
      <c r="A103" s="1">
        <v>43586</v>
      </c>
      <c r="B103" s="37">
        <v>14.069800000000001</v>
      </c>
      <c r="C103" s="37">
        <v>14.069800000000001</v>
      </c>
      <c r="D103" s="37">
        <v>14.069800000000001</v>
      </c>
      <c r="E103" s="37">
        <v>14.069800000000001</v>
      </c>
    </row>
    <row r="104" spans="1:5" x14ac:dyDescent="0.3">
      <c r="A104" s="2">
        <v>43587</v>
      </c>
      <c r="B104" s="36">
        <v>14.0913</v>
      </c>
      <c r="C104" s="36">
        <v>14.0913</v>
      </c>
      <c r="D104" s="36">
        <v>14.0913</v>
      </c>
      <c r="E104" s="36">
        <v>14.0913</v>
      </c>
    </row>
    <row r="105" spans="1:5" x14ac:dyDescent="0.3">
      <c r="A105" s="1">
        <v>43588</v>
      </c>
      <c r="B105" s="37">
        <v>14.1129</v>
      </c>
      <c r="C105" s="37">
        <v>14.1129</v>
      </c>
      <c r="D105" s="37">
        <v>14.1129</v>
      </c>
      <c r="E105" s="37">
        <v>14.1129</v>
      </c>
    </row>
    <row r="106" spans="1:5" x14ac:dyDescent="0.3">
      <c r="A106" s="2">
        <v>43589</v>
      </c>
      <c r="B106" s="36">
        <v>14.134499999999999</v>
      </c>
      <c r="C106" s="36">
        <v>14.134499999999999</v>
      </c>
      <c r="D106" s="36">
        <v>14.134499999999999</v>
      </c>
      <c r="E106" s="36">
        <v>14.134499999999999</v>
      </c>
    </row>
    <row r="107" spans="1:5" x14ac:dyDescent="0.3">
      <c r="A107" s="1">
        <v>43590</v>
      </c>
      <c r="B107" s="37">
        <v>14.1562</v>
      </c>
      <c r="C107" s="37">
        <v>14.1562</v>
      </c>
      <c r="D107" s="37">
        <v>14.1562</v>
      </c>
      <c r="E107" s="37">
        <v>14.1562</v>
      </c>
    </row>
    <row r="108" spans="1:5" x14ac:dyDescent="0.3">
      <c r="A108" s="2">
        <v>43591</v>
      </c>
      <c r="B108" s="36">
        <v>14.177899999999999</v>
      </c>
      <c r="C108" s="36">
        <v>14.177899999999999</v>
      </c>
      <c r="D108" s="36">
        <v>14.177899999999999</v>
      </c>
      <c r="E108" s="36">
        <v>14.177899999999999</v>
      </c>
    </row>
    <row r="109" spans="1:5" x14ac:dyDescent="0.3">
      <c r="A109" s="1">
        <v>43592</v>
      </c>
      <c r="B109" s="37">
        <v>14.1996</v>
      </c>
      <c r="C109" s="37">
        <v>14.1996</v>
      </c>
      <c r="D109" s="37">
        <v>14.1996</v>
      </c>
      <c r="E109" s="37">
        <v>14.1996</v>
      </c>
    </row>
    <row r="110" spans="1:5" x14ac:dyDescent="0.3">
      <c r="A110" s="2">
        <v>43593</v>
      </c>
      <c r="B110" s="36">
        <v>14.221399999999999</v>
      </c>
      <c r="C110" s="36">
        <v>14.221399999999999</v>
      </c>
      <c r="D110" s="36">
        <v>14.221399999999999</v>
      </c>
      <c r="E110" s="36">
        <v>14.221399999999999</v>
      </c>
    </row>
    <row r="111" spans="1:5" x14ac:dyDescent="0.3">
      <c r="A111" s="1">
        <v>43594</v>
      </c>
      <c r="B111" s="37">
        <v>14.2432</v>
      </c>
      <c r="C111" s="37">
        <v>14.2432</v>
      </c>
      <c r="D111" s="37">
        <v>14.2432</v>
      </c>
      <c r="E111" s="37">
        <v>14.2432</v>
      </c>
    </row>
    <row r="112" spans="1:5" x14ac:dyDescent="0.3">
      <c r="A112" s="2">
        <v>43595</v>
      </c>
      <c r="B112" s="36">
        <v>14.265000000000001</v>
      </c>
      <c r="C112" s="36">
        <v>14.265000000000001</v>
      </c>
      <c r="D112" s="36">
        <v>14.265000000000001</v>
      </c>
      <c r="E112" s="36">
        <v>14.265000000000001</v>
      </c>
    </row>
    <row r="113" spans="1:5" x14ac:dyDescent="0.3">
      <c r="A113" s="1">
        <v>43596</v>
      </c>
      <c r="B113" s="37">
        <v>14.286799999999999</v>
      </c>
      <c r="C113" s="37">
        <v>14.286799999999999</v>
      </c>
      <c r="D113" s="37">
        <v>14.286799999999999</v>
      </c>
      <c r="E113" s="37">
        <v>14.286799999999999</v>
      </c>
    </row>
    <row r="114" spans="1:5" x14ac:dyDescent="0.3">
      <c r="A114" s="2">
        <v>43597</v>
      </c>
      <c r="B114" s="36">
        <v>14.3087</v>
      </c>
      <c r="C114" s="36">
        <v>14.3087</v>
      </c>
      <c r="D114" s="36">
        <v>14.3087</v>
      </c>
      <c r="E114" s="36">
        <v>14.3087</v>
      </c>
    </row>
    <row r="115" spans="1:5" x14ac:dyDescent="0.3">
      <c r="A115" s="1">
        <v>43598</v>
      </c>
      <c r="B115" s="37">
        <v>14.3306</v>
      </c>
      <c r="C115" s="37">
        <v>14.3306</v>
      </c>
      <c r="D115" s="37">
        <v>14.3306</v>
      </c>
      <c r="E115" s="37">
        <v>14.3306</v>
      </c>
    </row>
    <row r="116" spans="1:5" x14ac:dyDescent="0.3">
      <c r="A116" s="2">
        <v>43599</v>
      </c>
      <c r="B116" s="36">
        <v>14.352600000000001</v>
      </c>
      <c r="C116" s="36">
        <v>14.352600000000001</v>
      </c>
      <c r="D116" s="36">
        <v>14.352600000000001</v>
      </c>
      <c r="E116" s="36">
        <v>14.352600000000001</v>
      </c>
    </row>
    <row r="117" spans="1:5" x14ac:dyDescent="0.3">
      <c r="A117" s="1">
        <v>43600</v>
      </c>
      <c r="B117" s="37">
        <v>14.374599999999999</v>
      </c>
      <c r="C117" s="37">
        <v>14.374599999999999</v>
      </c>
      <c r="D117" s="37">
        <v>14.374599999999999</v>
      </c>
      <c r="E117" s="37">
        <v>14.374599999999999</v>
      </c>
    </row>
    <row r="118" spans="1:5" x14ac:dyDescent="0.3">
      <c r="A118" s="2">
        <v>43601</v>
      </c>
      <c r="B118" s="36">
        <v>14.3901</v>
      </c>
      <c r="C118" s="36">
        <v>14.3901</v>
      </c>
      <c r="D118" s="36">
        <v>14.3901</v>
      </c>
      <c r="E118" s="36">
        <v>14.3901</v>
      </c>
    </row>
    <row r="119" spans="1:5" x14ac:dyDescent="0.3">
      <c r="A119" s="1">
        <v>43602</v>
      </c>
      <c r="B119" s="37">
        <v>14.4056</v>
      </c>
      <c r="C119" s="37">
        <v>14.4056</v>
      </c>
      <c r="D119" s="37">
        <v>14.4056</v>
      </c>
      <c r="E119" s="37">
        <v>14.4056</v>
      </c>
    </row>
    <row r="120" spans="1:5" x14ac:dyDescent="0.3">
      <c r="A120" s="2">
        <v>43603</v>
      </c>
      <c r="B120" s="36">
        <v>14.421200000000001</v>
      </c>
      <c r="C120" s="36">
        <v>14.421200000000001</v>
      </c>
      <c r="D120" s="36">
        <v>14.421200000000001</v>
      </c>
      <c r="E120" s="36">
        <v>14.421200000000001</v>
      </c>
    </row>
    <row r="121" spans="1:5" x14ac:dyDescent="0.3">
      <c r="A121" s="1">
        <v>43604</v>
      </c>
      <c r="B121" s="37">
        <v>14.4367</v>
      </c>
      <c r="C121" s="37">
        <v>14.4367</v>
      </c>
      <c r="D121" s="37">
        <v>14.4367</v>
      </c>
      <c r="E121" s="37">
        <v>14.4367</v>
      </c>
    </row>
    <row r="122" spans="1:5" x14ac:dyDescent="0.3">
      <c r="A122" s="2">
        <v>43605</v>
      </c>
      <c r="B122" s="36">
        <v>14.452299999999999</v>
      </c>
      <c r="C122" s="36">
        <v>14.452299999999999</v>
      </c>
      <c r="D122" s="36">
        <v>14.452299999999999</v>
      </c>
      <c r="E122" s="36">
        <v>14.452299999999999</v>
      </c>
    </row>
    <row r="123" spans="1:5" x14ac:dyDescent="0.3">
      <c r="A123" s="1">
        <v>43606</v>
      </c>
      <c r="B123" s="37">
        <v>14.4679</v>
      </c>
      <c r="C123" s="37">
        <v>14.4679</v>
      </c>
      <c r="D123" s="37">
        <v>14.4679</v>
      </c>
      <c r="E123" s="37">
        <v>14.4679</v>
      </c>
    </row>
    <row r="124" spans="1:5" x14ac:dyDescent="0.3">
      <c r="A124" s="2">
        <v>43607</v>
      </c>
      <c r="B124" s="36">
        <v>14.483499999999999</v>
      </c>
      <c r="C124" s="36">
        <v>14.483499999999999</v>
      </c>
      <c r="D124" s="36">
        <v>14.483499999999999</v>
      </c>
      <c r="E124" s="36">
        <v>14.483499999999999</v>
      </c>
    </row>
    <row r="125" spans="1:5" x14ac:dyDescent="0.3">
      <c r="A125" s="1">
        <v>43608</v>
      </c>
      <c r="B125" s="37">
        <v>14.4992</v>
      </c>
      <c r="C125" s="37">
        <v>14.4992</v>
      </c>
      <c r="D125" s="37">
        <v>14.4992</v>
      </c>
      <c r="E125" s="37">
        <v>14.4992</v>
      </c>
    </row>
    <row r="126" spans="1:5" x14ac:dyDescent="0.3">
      <c r="A126" s="2">
        <v>43609</v>
      </c>
      <c r="B126" s="36">
        <v>14.514799999999999</v>
      </c>
      <c r="C126" s="36">
        <v>14.514799999999999</v>
      </c>
      <c r="D126" s="36">
        <v>14.514799999999999</v>
      </c>
      <c r="E126" s="36">
        <v>14.514799999999999</v>
      </c>
    </row>
    <row r="127" spans="1:5" x14ac:dyDescent="0.3">
      <c r="A127" s="1">
        <v>43610</v>
      </c>
      <c r="B127" s="37">
        <v>14.5305</v>
      </c>
      <c r="C127" s="37">
        <v>14.5305</v>
      </c>
      <c r="D127" s="37">
        <v>14.5305</v>
      </c>
      <c r="E127" s="37">
        <v>14.5305</v>
      </c>
    </row>
    <row r="128" spans="1:5" x14ac:dyDescent="0.3">
      <c r="A128" s="2">
        <v>43611</v>
      </c>
      <c r="B128" s="36">
        <v>14.546099999999999</v>
      </c>
      <c r="C128" s="36">
        <v>14.546099999999999</v>
      </c>
      <c r="D128" s="36">
        <v>14.546099999999999</v>
      </c>
      <c r="E128" s="36">
        <v>14.546099999999999</v>
      </c>
    </row>
    <row r="129" spans="1:5" x14ac:dyDescent="0.3">
      <c r="A129" s="1">
        <v>43612</v>
      </c>
      <c r="B129" s="37">
        <v>14.5618</v>
      </c>
      <c r="C129" s="37">
        <v>14.5618</v>
      </c>
      <c r="D129" s="37">
        <v>14.5618</v>
      </c>
      <c r="E129" s="37">
        <v>14.5618</v>
      </c>
    </row>
    <row r="130" spans="1:5" x14ac:dyDescent="0.3">
      <c r="A130" s="2">
        <v>43613</v>
      </c>
      <c r="B130" s="36">
        <v>14.5776</v>
      </c>
      <c r="C130" s="36">
        <v>14.5776</v>
      </c>
      <c r="D130" s="36">
        <v>14.5776</v>
      </c>
      <c r="E130" s="36">
        <v>14.5776</v>
      </c>
    </row>
    <row r="131" spans="1:5" x14ac:dyDescent="0.3">
      <c r="A131" s="1">
        <v>43614</v>
      </c>
      <c r="B131" s="37">
        <v>14.593299999999999</v>
      </c>
      <c r="C131" s="37">
        <v>14.593299999999999</v>
      </c>
      <c r="D131" s="37">
        <v>14.593299999999999</v>
      </c>
      <c r="E131" s="37">
        <v>14.593299999999999</v>
      </c>
    </row>
    <row r="132" spans="1:5" x14ac:dyDescent="0.3">
      <c r="A132" s="2">
        <v>43615</v>
      </c>
      <c r="B132" s="36">
        <v>14.609</v>
      </c>
      <c r="C132" s="36">
        <v>14.609</v>
      </c>
      <c r="D132" s="36">
        <v>14.609</v>
      </c>
      <c r="E132" s="36">
        <v>14.609</v>
      </c>
    </row>
    <row r="133" spans="1:5" x14ac:dyDescent="0.3">
      <c r="A133" s="1">
        <v>43616</v>
      </c>
      <c r="B133" s="37">
        <v>14.6248</v>
      </c>
      <c r="C133" s="37">
        <v>14.6248</v>
      </c>
      <c r="D133" s="37">
        <v>14.6248</v>
      </c>
      <c r="E133" s="37">
        <v>14.6248</v>
      </c>
    </row>
    <row r="134" spans="1:5" x14ac:dyDescent="0.3">
      <c r="A134" s="2">
        <v>43617</v>
      </c>
      <c r="B134" s="36">
        <v>14.640599999999999</v>
      </c>
      <c r="C134" s="36">
        <v>14.640599999999999</v>
      </c>
      <c r="D134" s="36">
        <v>14.640599999999999</v>
      </c>
      <c r="E134" s="36">
        <v>14.640599999999999</v>
      </c>
    </row>
    <row r="135" spans="1:5" x14ac:dyDescent="0.3">
      <c r="A135" s="1">
        <v>43618</v>
      </c>
      <c r="B135" s="37">
        <v>14.6564</v>
      </c>
      <c r="C135" s="37">
        <v>14.6564</v>
      </c>
      <c r="D135" s="37">
        <v>14.6564</v>
      </c>
      <c r="E135" s="37">
        <v>14.6564</v>
      </c>
    </row>
    <row r="136" spans="1:5" x14ac:dyDescent="0.3">
      <c r="A136" s="2">
        <v>43619</v>
      </c>
      <c r="B136" s="36">
        <v>14.6722</v>
      </c>
      <c r="C136" s="36">
        <v>14.6722</v>
      </c>
      <c r="D136" s="36">
        <v>14.6722</v>
      </c>
      <c r="E136" s="36">
        <v>14.6722</v>
      </c>
    </row>
    <row r="137" spans="1:5" x14ac:dyDescent="0.3">
      <c r="A137" s="1">
        <v>43620</v>
      </c>
      <c r="B137" s="37">
        <v>14.688000000000001</v>
      </c>
      <c r="C137" s="37">
        <v>14.688000000000001</v>
      </c>
      <c r="D137" s="37">
        <v>14.688000000000001</v>
      </c>
      <c r="E137" s="37">
        <v>14.688000000000001</v>
      </c>
    </row>
    <row r="138" spans="1:5" x14ac:dyDescent="0.3">
      <c r="A138" s="2">
        <v>43621</v>
      </c>
      <c r="B138" s="36">
        <v>14.703900000000001</v>
      </c>
      <c r="C138" s="36">
        <v>14.703900000000001</v>
      </c>
      <c r="D138" s="36">
        <v>14.703900000000001</v>
      </c>
      <c r="E138" s="36">
        <v>14.703900000000001</v>
      </c>
    </row>
    <row r="139" spans="1:5" x14ac:dyDescent="0.3">
      <c r="A139" s="1">
        <v>43622</v>
      </c>
      <c r="B139" s="37">
        <v>14.719799999999999</v>
      </c>
      <c r="C139" s="37">
        <v>14.719799999999999</v>
      </c>
      <c r="D139" s="37">
        <v>14.719799999999999</v>
      </c>
      <c r="E139" s="37">
        <v>14.719799999999999</v>
      </c>
    </row>
    <row r="140" spans="1:5" x14ac:dyDescent="0.3">
      <c r="A140" s="2">
        <v>43623</v>
      </c>
      <c r="B140" s="36">
        <v>14.7356</v>
      </c>
      <c r="C140" s="36">
        <v>14.7356</v>
      </c>
      <c r="D140" s="36">
        <v>14.7356</v>
      </c>
      <c r="E140" s="36">
        <v>14.7356</v>
      </c>
    </row>
    <row r="141" spans="1:5" x14ac:dyDescent="0.3">
      <c r="A141" s="1">
        <v>43624</v>
      </c>
      <c r="B141" s="37">
        <v>14.7515</v>
      </c>
      <c r="C141" s="37">
        <v>14.7515</v>
      </c>
      <c r="D141" s="37">
        <v>14.7515</v>
      </c>
      <c r="E141" s="37">
        <v>14.7515</v>
      </c>
    </row>
    <row r="142" spans="1:5" x14ac:dyDescent="0.3">
      <c r="A142" s="2">
        <v>43625</v>
      </c>
      <c r="B142" s="36">
        <v>14.7675</v>
      </c>
      <c r="C142" s="36">
        <v>14.7675</v>
      </c>
      <c r="D142" s="36">
        <v>14.7675</v>
      </c>
      <c r="E142" s="36">
        <v>14.7675</v>
      </c>
    </row>
    <row r="143" spans="1:5" x14ac:dyDescent="0.3">
      <c r="A143" s="1">
        <v>43626</v>
      </c>
      <c r="B143" s="37">
        <v>14.7834</v>
      </c>
      <c r="C143" s="37">
        <v>14.7834</v>
      </c>
      <c r="D143" s="37">
        <v>14.7834</v>
      </c>
      <c r="E143" s="37">
        <v>14.7834</v>
      </c>
    </row>
    <row r="144" spans="1:5" x14ac:dyDescent="0.3">
      <c r="A144" s="2">
        <v>43627</v>
      </c>
      <c r="B144" s="36">
        <v>14.799300000000001</v>
      </c>
      <c r="C144" s="36">
        <v>14.799300000000001</v>
      </c>
      <c r="D144" s="36">
        <v>14.799300000000001</v>
      </c>
      <c r="E144" s="36">
        <v>14.799300000000001</v>
      </c>
    </row>
    <row r="145" spans="1:5" x14ac:dyDescent="0.3">
      <c r="A145" s="1">
        <v>43628</v>
      </c>
      <c r="B145" s="37">
        <v>14.815300000000001</v>
      </c>
      <c r="C145" s="37">
        <v>14.815300000000001</v>
      </c>
      <c r="D145" s="37">
        <v>14.815300000000001</v>
      </c>
      <c r="E145" s="37">
        <v>14.815300000000001</v>
      </c>
    </row>
    <row r="146" spans="1:5" x14ac:dyDescent="0.3">
      <c r="A146" s="2">
        <v>43629</v>
      </c>
      <c r="B146" s="36">
        <v>14.831300000000001</v>
      </c>
      <c r="C146" s="36">
        <v>14.831300000000001</v>
      </c>
      <c r="D146" s="36">
        <v>14.831300000000001</v>
      </c>
      <c r="E146" s="36">
        <v>14.831300000000001</v>
      </c>
    </row>
    <row r="147" spans="1:5" x14ac:dyDescent="0.3">
      <c r="A147" s="1">
        <v>43630</v>
      </c>
      <c r="B147" s="37">
        <v>14.847300000000001</v>
      </c>
      <c r="C147" s="37">
        <v>14.847300000000001</v>
      </c>
      <c r="D147" s="37">
        <v>14.847300000000001</v>
      </c>
      <c r="E147" s="37">
        <v>14.847300000000001</v>
      </c>
    </row>
    <row r="148" spans="1:5" x14ac:dyDescent="0.3">
      <c r="A148" s="2">
        <v>43631</v>
      </c>
      <c r="B148" s="36">
        <v>14.863300000000001</v>
      </c>
      <c r="C148" s="36">
        <v>14.863300000000001</v>
      </c>
      <c r="D148" s="36">
        <v>14.863300000000001</v>
      </c>
      <c r="E148" s="36">
        <v>14.863300000000001</v>
      </c>
    </row>
    <row r="149" spans="1:5" x14ac:dyDescent="0.3">
      <c r="A149" s="1">
        <v>43632</v>
      </c>
      <c r="B149" s="37">
        <v>14.878500000000001</v>
      </c>
      <c r="C149" s="37">
        <v>14.878500000000001</v>
      </c>
      <c r="D149" s="37">
        <v>14.878500000000001</v>
      </c>
      <c r="E149" s="37">
        <v>14.878500000000001</v>
      </c>
    </row>
    <row r="150" spans="1:5" x14ac:dyDescent="0.3">
      <c r="A150" s="2">
        <v>43633</v>
      </c>
      <c r="B150" s="36">
        <v>14.893599999999999</v>
      </c>
      <c r="C150" s="36">
        <v>14.893599999999999</v>
      </c>
      <c r="D150" s="36">
        <v>14.893599999999999</v>
      </c>
      <c r="E150" s="36">
        <v>14.893599999999999</v>
      </c>
    </row>
    <row r="151" spans="1:5" x14ac:dyDescent="0.3">
      <c r="A151" s="1">
        <v>43634</v>
      </c>
      <c r="B151" s="37">
        <v>14.908799999999999</v>
      </c>
      <c r="C151" s="37">
        <v>14.908799999999999</v>
      </c>
      <c r="D151" s="37">
        <v>14.908799999999999</v>
      </c>
      <c r="E151" s="37">
        <v>14.908799999999999</v>
      </c>
    </row>
    <row r="152" spans="1:5" x14ac:dyDescent="0.3">
      <c r="A152" s="2">
        <v>43635</v>
      </c>
      <c r="B152" s="36">
        <v>14.923999999999999</v>
      </c>
      <c r="C152" s="36">
        <v>14.923999999999999</v>
      </c>
      <c r="D152" s="36">
        <v>14.923999999999999</v>
      </c>
      <c r="E152" s="36">
        <v>14.923999999999999</v>
      </c>
    </row>
    <row r="153" spans="1:5" x14ac:dyDescent="0.3">
      <c r="A153" s="1">
        <v>43636</v>
      </c>
      <c r="B153" s="37">
        <v>14.9392</v>
      </c>
      <c r="C153" s="37">
        <v>14.9392</v>
      </c>
      <c r="D153" s="37">
        <v>14.9392</v>
      </c>
      <c r="E153" s="37">
        <v>14.9392</v>
      </c>
    </row>
    <row r="154" spans="1:5" x14ac:dyDescent="0.3">
      <c r="A154" s="2">
        <v>43637</v>
      </c>
      <c r="B154" s="36">
        <v>14.9544</v>
      </c>
      <c r="C154" s="36">
        <v>14.9544</v>
      </c>
      <c r="D154" s="36">
        <v>14.9544</v>
      </c>
      <c r="E154" s="36">
        <v>14.9544</v>
      </c>
    </row>
    <row r="155" spans="1:5" x14ac:dyDescent="0.3">
      <c r="A155" s="1">
        <v>43638</v>
      </c>
      <c r="B155" s="37">
        <v>14.9696</v>
      </c>
      <c r="C155" s="37">
        <v>14.9696</v>
      </c>
      <c r="D155" s="37">
        <v>14.9696</v>
      </c>
      <c r="E155" s="37">
        <v>14.9696</v>
      </c>
    </row>
    <row r="156" spans="1:5" x14ac:dyDescent="0.3">
      <c r="A156" s="2">
        <v>43639</v>
      </c>
      <c r="B156" s="36">
        <v>14.9848</v>
      </c>
      <c r="C156" s="36">
        <v>14.9848</v>
      </c>
      <c r="D156" s="36">
        <v>14.9848</v>
      </c>
      <c r="E156" s="36">
        <v>14.9848</v>
      </c>
    </row>
    <row r="157" spans="1:5" x14ac:dyDescent="0.3">
      <c r="A157" s="1">
        <v>43640</v>
      </c>
      <c r="B157" s="37">
        <v>15.0001</v>
      </c>
      <c r="C157" s="37">
        <v>15.0001</v>
      </c>
      <c r="D157" s="37">
        <v>15.0001</v>
      </c>
      <c r="E157" s="37">
        <v>15.0001</v>
      </c>
    </row>
    <row r="158" spans="1:5" x14ac:dyDescent="0.3">
      <c r="A158" s="2">
        <v>43641</v>
      </c>
      <c r="B158" s="36">
        <v>15.0154</v>
      </c>
      <c r="C158" s="36">
        <v>15.0154</v>
      </c>
      <c r="D158" s="36">
        <v>15.0154</v>
      </c>
      <c r="E158" s="36">
        <v>15.0154</v>
      </c>
    </row>
    <row r="159" spans="1:5" x14ac:dyDescent="0.3">
      <c r="A159" s="1">
        <v>43642</v>
      </c>
      <c r="B159" s="37">
        <v>15.0306</v>
      </c>
      <c r="C159" s="37">
        <v>15.0306</v>
      </c>
      <c r="D159" s="37">
        <v>15.0306</v>
      </c>
      <c r="E159" s="37">
        <v>15.0306</v>
      </c>
    </row>
    <row r="160" spans="1:5" x14ac:dyDescent="0.3">
      <c r="A160" s="2">
        <v>43643</v>
      </c>
      <c r="B160" s="36">
        <v>15.0459</v>
      </c>
      <c r="C160" s="36">
        <v>15.0459</v>
      </c>
      <c r="D160" s="36">
        <v>15.0459</v>
      </c>
      <c r="E160" s="36">
        <v>15.0459</v>
      </c>
    </row>
    <row r="161" spans="1:5" x14ac:dyDescent="0.3">
      <c r="A161" s="1">
        <v>43644</v>
      </c>
      <c r="B161" s="37">
        <v>15.061299999999999</v>
      </c>
      <c r="C161" s="37">
        <v>15.061299999999999</v>
      </c>
      <c r="D161" s="37">
        <v>15.061299999999999</v>
      </c>
      <c r="E161" s="37">
        <v>15.061299999999999</v>
      </c>
    </row>
    <row r="162" spans="1:5" x14ac:dyDescent="0.3">
      <c r="A162" s="2">
        <v>43645</v>
      </c>
      <c r="B162" s="36">
        <v>15.076599999999999</v>
      </c>
      <c r="C162" s="36">
        <v>15.076599999999999</v>
      </c>
      <c r="D162" s="36">
        <v>15.076599999999999</v>
      </c>
      <c r="E162" s="36">
        <v>15.076599999999999</v>
      </c>
    </row>
    <row r="163" spans="1:5" x14ac:dyDescent="0.3">
      <c r="A163" s="1">
        <v>43646</v>
      </c>
      <c r="B163" s="37">
        <v>15.092000000000001</v>
      </c>
      <c r="C163" s="37">
        <v>15.092000000000001</v>
      </c>
      <c r="D163" s="37">
        <v>15.092000000000001</v>
      </c>
      <c r="E163" s="37">
        <v>15.092000000000001</v>
      </c>
    </row>
    <row r="164" spans="1:5" x14ac:dyDescent="0.3">
      <c r="A164" s="2">
        <v>43647</v>
      </c>
      <c r="B164" s="36">
        <v>15.1073</v>
      </c>
      <c r="C164" s="36">
        <v>15.1073</v>
      </c>
      <c r="D164" s="36">
        <v>15.1073</v>
      </c>
      <c r="E164" s="36">
        <v>15.1073</v>
      </c>
    </row>
    <row r="165" spans="1:5" x14ac:dyDescent="0.3">
      <c r="A165" s="1">
        <v>43648</v>
      </c>
      <c r="B165" s="37">
        <v>15.1227</v>
      </c>
      <c r="C165" s="37">
        <v>15.1227</v>
      </c>
      <c r="D165" s="37">
        <v>15.1227</v>
      </c>
      <c r="E165" s="37">
        <v>15.1227</v>
      </c>
    </row>
    <row r="166" spans="1:5" x14ac:dyDescent="0.3">
      <c r="A166" s="2">
        <v>43649</v>
      </c>
      <c r="B166" s="36">
        <v>15.1381</v>
      </c>
      <c r="C166" s="36">
        <v>15.1381</v>
      </c>
      <c r="D166" s="36">
        <v>15.1381</v>
      </c>
      <c r="E166" s="36">
        <v>15.1381</v>
      </c>
    </row>
    <row r="167" spans="1:5" x14ac:dyDescent="0.3">
      <c r="A167" s="1">
        <v>43650</v>
      </c>
      <c r="B167" s="37">
        <v>15.153499999999999</v>
      </c>
      <c r="C167" s="37">
        <v>15.153499999999999</v>
      </c>
      <c r="D167" s="37">
        <v>15.153499999999999</v>
      </c>
      <c r="E167" s="37">
        <v>15.153499999999999</v>
      </c>
    </row>
    <row r="168" spans="1:5" x14ac:dyDescent="0.3">
      <c r="A168" s="2">
        <v>43651</v>
      </c>
      <c r="B168" s="36">
        <v>15.168900000000001</v>
      </c>
      <c r="C168" s="36">
        <v>15.168900000000001</v>
      </c>
      <c r="D168" s="36">
        <v>15.168900000000001</v>
      </c>
      <c r="E168" s="36">
        <v>15.168900000000001</v>
      </c>
    </row>
    <row r="169" spans="1:5" x14ac:dyDescent="0.3">
      <c r="A169" s="1">
        <v>43652</v>
      </c>
      <c r="B169" s="37">
        <v>15.1844</v>
      </c>
      <c r="C169" s="37">
        <v>15.1844</v>
      </c>
      <c r="D169" s="37">
        <v>15.1844</v>
      </c>
      <c r="E169" s="37">
        <v>15.1844</v>
      </c>
    </row>
    <row r="170" spans="1:5" x14ac:dyDescent="0.3">
      <c r="A170" s="2">
        <v>43653</v>
      </c>
      <c r="B170" s="36">
        <v>15.1998</v>
      </c>
      <c r="C170" s="36">
        <v>15.1998</v>
      </c>
      <c r="D170" s="36">
        <v>15.1998</v>
      </c>
      <c r="E170" s="36">
        <v>15.1998</v>
      </c>
    </row>
    <row r="171" spans="1:5" x14ac:dyDescent="0.3">
      <c r="A171" s="1">
        <v>43654</v>
      </c>
      <c r="B171" s="37">
        <v>15.215299999999999</v>
      </c>
      <c r="C171" s="37">
        <v>15.215299999999999</v>
      </c>
      <c r="D171" s="37">
        <v>15.215299999999999</v>
      </c>
      <c r="E171" s="37">
        <v>15.215299999999999</v>
      </c>
    </row>
    <row r="172" spans="1:5" x14ac:dyDescent="0.3">
      <c r="A172" s="2">
        <v>43655</v>
      </c>
      <c r="B172" s="36">
        <v>15.2308</v>
      </c>
      <c r="C172" s="36">
        <v>15.2308</v>
      </c>
      <c r="D172" s="36">
        <v>15.2308</v>
      </c>
      <c r="E172" s="36">
        <v>15.2308</v>
      </c>
    </row>
    <row r="173" spans="1:5" x14ac:dyDescent="0.3">
      <c r="A173" s="1">
        <v>43656</v>
      </c>
      <c r="B173" s="37">
        <v>15.2463</v>
      </c>
      <c r="C173" s="37">
        <v>15.2463</v>
      </c>
      <c r="D173" s="37">
        <v>15.2463</v>
      </c>
      <c r="E173" s="37">
        <v>15.2463</v>
      </c>
    </row>
    <row r="174" spans="1:5" x14ac:dyDescent="0.3">
      <c r="A174" s="2">
        <v>43657</v>
      </c>
      <c r="B174" s="36">
        <v>15.261799999999999</v>
      </c>
      <c r="C174" s="36">
        <v>15.261799999999999</v>
      </c>
      <c r="D174" s="36">
        <v>15.261799999999999</v>
      </c>
      <c r="E174" s="36">
        <v>15.261799999999999</v>
      </c>
    </row>
    <row r="175" spans="1:5" x14ac:dyDescent="0.3">
      <c r="A175" s="1">
        <v>43658</v>
      </c>
      <c r="B175" s="37">
        <v>15.2774</v>
      </c>
      <c r="C175" s="37">
        <v>15.2774</v>
      </c>
      <c r="D175" s="37">
        <v>15.2774</v>
      </c>
      <c r="E175" s="37">
        <v>15.2774</v>
      </c>
    </row>
    <row r="176" spans="1:5" x14ac:dyDescent="0.3">
      <c r="A176" s="2">
        <v>43659</v>
      </c>
      <c r="B176" s="36">
        <v>15.292899999999999</v>
      </c>
      <c r="C176" s="36">
        <v>15.292899999999999</v>
      </c>
      <c r="D176" s="36">
        <v>15.292899999999999</v>
      </c>
      <c r="E176" s="36">
        <v>15.292899999999999</v>
      </c>
    </row>
    <row r="177" spans="1:5" x14ac:dyDescent="0.3">
      <c r="A177" s="1">
        <v>43660</v>
      </c>
      <c r="B177" s="37">
        <v>15.3085</v>
      </c>
      <c r="C177" s="37">
        <v>15.3085</v>
      </c>
      <c r="D177" s="37">
        <v>15.3085</v>
      </c>
      <c r="E177" s="37">
        <v>15.3085</v>
      </c>
    </row>
    <row r="178" spans="1:5" x14ac:dyDescent="0.3">
      <c r="A178" s="2">
        <v>43661</v>
      </c>
      <c r="B178" s="36">
        <v>15.3241</v>
      </c>
      <c r="C178" s="36">
        <v>15.3241</v>
      </c>
      <c r="D178" s="36">
        <v>15.3241</v>
      </c>
      <c r="E178" s="36">
        <v>15.3241</v>
      </c>
    </row>
    <row r="179" spans="1:5" x14ac:dyDescent="0.3">
      <c r="A179" s="1">
        <v>43662</v>
      </c>
      <c r="B179" s="37">
        <v>15.337300000000001</v>
      </c>
      <c r="C179" s="37">
        <v>15.337300000000001</v>
      </c>
      <c r="D179" s="37">
        <v>15.337300000000001</v>
      </c>
      <c r="E179" s="37">
        <v>15.337300000000001</v>
      </c>
    </row>
    <row r="180" spans="1:5" x14ac:dyDescent="0.3">
      <c r="A180" s="2">
        <v>43663</v>
      </c>
      <c r="B180" s="36">
        <v>15.3505</v>
      </c>
      <c r="C180" s="36">
        <v>15.3505</v>
      </c>
      <c r="D180" s="36">
        <v>15.3505</v>
      </c>
      <c r="E180" s="36">
        <v>15.3505</v>
      </c>
    </row>
    <row r="181" spans="1:5" x14ac:dyDescent="0.3">
      <c r="A181" s="1">
        <v>43664</v>
      </c>
      <c r="B181" s="37">
        <v>15.3637</v>
      </c>
      <c r="C181" s="37">
        <v>15.3637</v>
      </c>
      <c r="D181" s="37">
        <v>15.3637</v>
      </c>
      <c r="E181" s="37">
        <v>15.3637</v>
      </c>
    </row>
    <row r="182" spans="1:5" x14ac:dyDescent="0.3">
      <c r="A182" s="2">
        <v>43665</v>
      </c>
      <c r="B182" s="36">
        <v>15.376899999999999</v>
      </c>
      <c r="C182" s="36">
        <v>15.376899999999999</v>
      </c>
      <c r="D182" s="36">
        <v>15.376899999999999</v>
      </c>
      <c r="E182" s="36">
        <v>15.376899999999999</v>
      </c>
    </row>
    <row r="183" spans="1:5" x14ac:dyDescent="0.3">
      <c r="A183" s="1">
        <v>43666</v>
      </c>
      <c r="B183" s="37">
        <v>15.3901</v>
      </c>
      <c r="C183" s="37">
        <v>15.3901</v>
      </c>
      <c r="D183" s="37">
        <v>15.3901</v>
      </c>
      <c r="E183" s="37">
        <v>15.3901</v>
      </c>
    </row>
    <row r="184" spans="1:5" x14ac:dyDescent="0.3">
      <c r="A184" s="2">
        <v>43667</v>
      </c>
      <c r="B184" s="36">
        <v>15.4033</v>
      </c>
      <c r="C184" s="36">
        <v>15.4033</v>
      </c>
      <c r="D184" s="36">
        <v>15.4033</v>
      </c>
      <c r="E184" s="36">
        <v>15.4033</v>
      </c>
    </row>
    <row r="185" spans="1:5" x14ac:dyDescent="0.3">
      <c r="A185" s="1">
        <v>43668</v>
      </c>
      <c r="B185" s="37">
        <v>15.416600000000001</v>
      </c>
      <c r="C185" s="37">
        <v>15.416600000000001</v>
      </c>
      <c r="D185" s="37">
        <v>15.416600000000001</v>
      </c>
      <c r="E185" s="37">
        <v>15.416600000000001</v>
      </c>
    </row>
    <row r="186" spans="1:5" x14ac:dyDescent="0.3">
      <c r="A186" s="2">
        <v>43669</v>
      </c>
      <c r="B186" s="36">
        <v>15.4298</v>
      </c>
      <c r="C186" s="36">
        <v>15.4298</v>
      </c>
      <c r="D186" s="36">
        <v>15.4298</v>
      </c>
      <c r="E186" s="36">
        <v>15.4298</v>
      </c>
    </row>
    <row r="187" spans="1:5" x14ac:dyDescent="0.3">
      <c r="A187" s="1">
        <v>43670</v>
      </c>
      <c r="B187" s="37">
        <v>15.443099999999999</v>
      </c>
      <c r="C187" s="37">
        <v>15.443099999999999</v>
      </c>
      <c r="D187" s="37">
        <v>15.443099999999999</v>
      </c>
      <c r="E187" s="37">
        <v>15.443099999999999</v>
      </c>
    </row>
    <row r="188" spans="1:5" x14ac:dyDescent="0.3">
      <c r="A188" s="2">
        <v>43671</v>
      </c>
      <c r="B188" s="36">
        <v>15.4564</v>
      </c>
      <c r="C188" s="36">
        <v>15.4564</v>
      </c>
      <c r="D188" s="36">
        <v>15.4564</v>
      </c>
      <c r="E188" s="36">
        <v>15.4564</v>
      </c>
    </row>
    <row r="189" spans="1:5" x14ac:dyDescent="0.3">
      <c r="A189" s="1">
        <v>43672</v>
      </c>
      <c r="B189" s="37">
        <v>15.4696</v>
      </c>
      <c r="C189" s="37">
        <v>15.4696</v>
      </c>
      <c r="D189" s="37">
        <v>15.4696</v>
      </c>
      <c r="E189" s="37">
        <v>15.4696</v>
      </c>
    </row>
    <row r="190" spans="1:5" x14ac:dyDescent="0.3">
      <c r="A190" s="2">
        <v>43673</v>
      </c>
      <c r="B190" s="36">
        <v>15.482900000000001</v>
      </c>
      <c r="C190" s="36">
        <v>15.482900000000001</v>
      </c>
      <c r="D190" s="36">
        <v>15.482900000000001</v>
      </c>
      <c r="E190" s="36">
        <v>15.482900000000001</v>
      </c>
    </row>
    <row r="191" spans="1:5" x14ac:dyDescent="0.3">
      <c r="A191" s="1">
        <v>43674</v>
      </c>
      <c r="B191" s="37">
        <v>15.4963</v>
      </c>
      <c r="C191" s="37">
        <v>15.4963</v>
      </c>
      <c r="D191" s="37">
        <v>15.4963</v>
      </c>
      <c r="E191" s="37">
        <v>15.4963</v>
      </c>
    </row>
    <row r="192" spans="1:5" x14ac:dyDescent="0.3">
      <c r="A192" s="2">
        <v>43675</v>
      </c>
      <c r="B192" s="36">
        <v>15.509600000000001</v>
      </c>
      <c r="C192" s="36">
        <v>15.509600000000001</v>
      </c>
      <c r="D192" s="36">
        <v>15.509600000000001</v>
      </c>
      <c r="E192" s="36">
        <v>15.509600000000001</v>
      </c>
    </row>
    <row r="193" spans="1:5" x14ac:dyDescent="0.3">
      <c r="A193" s="1">
        <v>43676</v>
      </c>
      <c r="B193" s="37">
        <v>15.5229</v>
      </c>
      <c r="C193" s="37">
        <v>15.5229</v>
      </c>
      <c r="D193" s="37">
        <v>15.5229</v>
      </c>
      <c r="E193" s="37">
        <v>15.5229</v>
      </c>
    </row>
    <row r="194" spans="1:5" x14ac:dyDescent="0.3">
      <c r="A194" s="2">
        <v>43677</v>
      </c>
      <c r="B194" s="36">
        <v>15.536300000000001</v>
      </c>
      <c r="C194" s="36">
        <v>15.536300000000001</v>
      </c>
      <c r="D194" s="36">
        <v>15.536300000000001</v>
      </c>
      <c r="E194" s="36">
        <v>15.536300000000001</v>
      </c>
    </row>
    <row r="195" spans="1:5" x14ac:dyDescent="0.3">
      <c r="A195" s="1">
        <v>43678</v>
      </c>
      <c r="B195" s="37">
        <v>15.5496</v>
      </c>
      <c r="C195" s="37">
        <v>15.5496</v>
      </c>
      <c r="D195" s="37">
        <v>15.5496</v>
      </c>
      <c r="E195" s="37">
        <v>15.5496</v>
      </c>
    </row>
    <row r="196" spans="1:5" x14ac:dyDescent="0.3">
      <c r="A196" s="2">
        <v>43679</v>
      </c>
      <c r="B196" s="36">
        <v>15.563000000000001</v>
      </c>
      <c r="C196" s="36">
        <v>15.563000000000001</v>
      </c>
      <c r="D196" s="36">
        <v>15.563000000000001</v>
      </c>
      <c r="E196" s="36">
        <v>15.563000000000001</v>
      </c>
    </row>
    <row r="197" spans="1:5" x14ac:dyDescent="0.3">
      <c r="A197" s="1">
        <v>43680</v>
      </c>
      <c r="B197" s="37">
        <v>15.5764</v>
      </c>
      <c r="C197" s="37">
        <v>15.5764</v>
      </c>
      <c r="D197" s="37">
        <v>15.5764</v>
      </c>
      <c r="E197" s="37">
        <v>15.5764</v>
      </c>
    </row>
    <row r="198" spans="1:5" x14ac:dyDescent="0.3">
      <c r="A198" s="2">
        <v>43681</v>
      </c>
      <c r="B198" s="36">
        <v>15.5898</v>
      </c>
      <c r="C198" s="36">
        <v>15.5898</v>
      </c>
      <c r="D198" s="36">
        <v>15.5898</v>
      </c>
      <c r="E198" s="36">
        <v>15.5898</v>
      </c>
    </row>
    <row r="199" spans="1:5" x14ac:dyDescent="0.3">
      <c r="A199" s="1">
        <v>43682</v>
      </c>
      <c r="B199" s="37">
        <v>15.603199999999999</v>
      </c>
      <c r="C199" s="37">
        <v>15.603199999999999</v>
      </c>
      <c r="D199" s="37">
        <v>15.603199999999999</v>
      </c>
      <c r="E199" s="37">
        <v>15.603199999999999</v>
      </c>
    </row>
    <row r="200" spans="1:5" x14ac:dyDescent="0.3">
      <c r="A200" s="2">
        <v>43683</v>
      </c>
      <c r="B200" s="36">
        <v>15.6166</v>
      </c>
      <c r="C200" s="36">
        <v>15.6166</v>
      </c>
      <c r="D200" s="36">
        <v>15.6166</v>
      </c>
      <c r="E200" s="36">
        <v>15.6166</v>
      </c>
    </row>
    <row r="201" spans="1:5" x14ac:dyDescent="0.3">
      <c r="A201" s="1">
        <v>43684</v>
      </c>
      <c r="B201" s="37">
        <v>15.63</v>
      </c>
      <c r="C201" s="37">
        <v>15.63</v>
      </c>
      <c r="D201" s="37">
        <v>15.63</v>
      </c>
      <c r="E201" s="37">
        <v>15.63</v>
      </c>
    </row>
    <row r="202" spans="1:5" x14ac:dyDescent="0.3">
      <c r="A202" s="2">
        <v>43685</v>
      </c>
      <c r="B202" s="36">
        <v>15.6435</v>
      </c>
      <c r="C202" s="36">
        <v>15.6435</v>
      </c>
      <c r="D202" s="36">
        <v>15.6435</v>
      </c>
      <c r="E202" s="36">
        <v>15.6435</v>
      </c>
    </row>
    <row r="203" spans="1:5" x14ac:dyDescent="0.3">
      <c r="A203" s="1">
        <v>43686</v>
      </c>
      <c r="B203" s="37">
        <v>15.6569</v>
      </c>
      <c r="C203" s="37">
        <v>15.6569</v>
      </c>
      <c r="D203" s="37">
        <v>15.6569</v>
      </c>
      <c r="E203" s="37">
        <v>15.6569</v>
      </c>
    </row>
    <row r="204" spans="1:5" x14ac:dyDescent="0.3">
      <c r="A204" s="2">
        <v>43687</v>
      </c>
      <c r="B204" s="36">
        <v>15.670400000000001</v>
      </c>
      <c r="C204" s="36">
        <v>15.670400000000001</v>
      </c>
      <c r="D204" s="36">
        <v>15.670400000000001</v>
      </c>
      <c r="E204" s="36">
        <v>15.670400000000001</v>
      </c>
    </row>
    <row r="205" spans="1:5" x14ac:dyDescent="0.3">
      <c r="A205" s="1">
        <v>43688</v>
      </c>
      <c r="B205" s="37">
        <v>15.6838</v>
      </c>
      <c r="C205" s="37">
        <v>15.6838</v>
      </c>
      <c r="D205" s="37">
        <v>15.6838</v>
      </c>
      <c r="E205" s="37">
        <v>15.6838</v>
      </c>
    </row>
    <row r="206" spans="1:5" x14ac:dyDescent="0.3">
      <c r="A206" s="2">
        <v>43689</v>
      </c>
      <c r="B206" s="36">
        <v>15.6973</v>
      </c>
      <c r="C206" s="36">
        <v>15.6973</v>
      </c>
      <c r="D206" s="36">
        <v>15.6973</v>
      </c>
      <c r="E206" s="36">
        <v>15.6973</v>
      </c>
    </row>
    <row r="207" spans="1:5" x14ac:dyDescent="0.3">
      <c r="A207" s="1">
        <v>43690</v>
      </c>
      <c r="B207" s="37">
        <v>15.710800000000001</v>
      </c>
      <c r="C207" s="37">
        <v>15.710800000000001</v>
      </c>
      <c r="D207" s="37">
        <v>15.710800000000001</v>
      </c>
      <c r="E207" s="37">
        <v>15.710800000000001</v>
      </c>
    </row>
    <row r="208" spans="1:5" x14ac:dyDescent="0.3">
      <c r="A208" s="2">
        <v>43691</v>
      </c>
      <c r="B208" s="36">
        <v>15.724299999999999</v>
      </c>
      <c r="C208" s="36">
        <v>15.724299999999999</v>
      </c>
      <c r="D208" s="36">
        <v>15.724299999999999</v>
      </c>
      <c r="E208" s="36">
        <v>15.724299999999999</v>
      </c>
    </row>
    <row r="209" spans="1:5" x14ac:dyDescent="0.3">
      <c r="A209" s="1">
        <v>43692</v>
      </c>
      <c r="B209" s="37">
        <v>15.7378</v>
      </c>
      <c r="C209" s="37">
        <v>15.7378</v>
      </c>
      <c r="D209" s="37">
        <v>15.7378</v>
      </c>
      <c r="E209" s="37">
        <v>15.7378</v>
      </c>
    </row>
    <row r="210" spans="1:5" x14ac:dyDescent="0.3">
      <c r="A210" s="2">
        <v>43693</v>
      </c>
      <c r="B210" s="36">
        <v>15.748900000000001</v>
      </c>
      <c r="C210" s="36">
        <v>15.748900000000001</v>
      </c>
      <c r="D210" s="36">
        <v>15.748900000000001</v>
      </c>
      <c r="E210" s="36">
        <v>15.748900000000001</v>
      </c>
    </row>
    <row r="211" spans="1:5" x14ac:dyDescent="0.3">
      <c r="A211" s="1">
        <v>43694</v>
      </c>
      <c r="B211" s="37">
        <v>15.76</v>
      </c>
      <c r="C211" s="37">
        <v>15.76</v>
      </c>
      <c r="D211" s="37">
        <v>15.76</v>
      </c>
      <c r="E211" s="37">
        <v>15.76</v>
      </c>
    </row>
    <row r="212" spans="1:5" x14ac:dyDescent="0.3">
      <c r="A212" s="2">
        <v>43695</v>
      </c>
      <c r="B212" s="36">
        <v>15.771000000000001</v>
      </c>
      <c r="C212" s="36">
        <v>15.771000000000001</v>
      </c>
      <c r="D212" s="36">
        <v>15.771000000000001</v>
      </c>
      <c r="E212" s="36">
        <v>15.771000000000001</v>
      </c>
    </row>
    <row r="213" spans="1:5" x14ac:dyDescent="0.3">
      <c r="A213" s="1">
        <v>43696</v>
      </c>
      <c r="B213" s="37">
        <v>15.7821</v>
      </c>
      <c r="C213" s="37">
        <v>15.7821</v>
      </c>
      <c r="D213" s="37">
        <v>15.7821</v>
      </c>
      <c r="E213" s="37">
        <v>15.7821</v>
      </c>
    </row>
    <row r="214" spans="1:5" x14ac:dyDescent="0.3">
      <c r="A214" s="2">
        <v>43697</v>
      </c>
      <c r="B214" s="36">
        <v>15.793200000000001</v>
      </c>
      <c r="C214" s="36">
        <v>15.793200000000001</v>
      </c>
      <c r="D214" s="36">
        <v>15.793200000000001</v>
      </c>
      <c r="E214" s="36">
        <v>15.793200000000001</v>
      </c>
    </row>
    <row r="215" spans="1:5" x14ac:dyDescent="0.3">
      <c r="A215" s="1">
        <v>43698</v>
      </c>
      <c r="B215" s="37">
        <v>15.8043</v>
      </c>
      <c r="C215" s="37">
        <v>15.8043</v>
      </c>
      <c r="D215" s="37">
        <v>15.8043</v>
      </c>
      <c r="E215" s="37">
        <v>15.8043</v>
      </c>
    </row>
    <row r="216" spans="1:5" x14ac:dyDescent="0.3">
      <c r="A216" s="2">
        <v>43699</v>
      </c>
      <c r="B216" s="36">
        <v>15.8154</v>
      </c>
      <c r="C216" s="36">
        <v>15.8154</v>
      </c>
      <c r="D216" s="36">
        <v>15.8154</v>
      </c>
      <c r="E216" s="36">
        <v>15.8154</v>
      </c>
    </row>
    <row r="217" spans="1:5" x14ac:dyDescent="0.3">
      <c r="A217" s="1">
        <v>43700</v>
      </c>
      <c r="B217" s="37">
        <v>15.826499999999999</v>
      </c>
      <c r="C217" s="37">
        <v>15.826499999999999</v>
      </c>
      <c r="D217" s="37">
        <v>15.826499999999999</v>
      </c>
      <c r="E217" s="37">
        <v>15.826499999999999</v>
      </c>
    </row>
    <row r="218" spans="1:5" x14ac:dyDescent="0.3">
      <c r="A218" s="2">
        <v>43701</v>
      </c>
      <c r="B218" s="36">
        <v>15.8376</v>
      </c>
      <c r="C218" s="36">
        <v>15.8376</v>
      </c>
      <c r="D218" s="36">
        <v>15.8376</v>
      </c>
      <c r="E218" s="36">
        <v>15.8376</v>
      </c>
    </row>
    <row r="219" spans="1:5" x14ac:dyDescent="0.3">
      <c r="A219" s="1">
        <v>43702</v>
      </c>
      <c r="B219" s="37">
        <v>15.848699999999999</v>
      </c>
      <c r="C219" s="37">
        <v>15.848699999999999</v>
      </c>
      <c r="D219" s="37">
        <v>15.848699999999999</v>
      </c>
      <c r="E219" s="37">
        <v>15.848699999999999</v>
      </c>
    </row>
    <row r="220" spans="1:5" x14ac:dyDescent="0.3">
      <c r="A220" s="2">
        <v>43703</v>
      </c>
      <c r="B220" s="36">
        <v>15.8598</v>
      </c>
      <c r="C220" s="36">
        <v>15.8598</v>
      </c>
      <c r="D220" s="36">
        <v>15.8598</v>
      </c>
      <c r="E220" s="36">
        <v>15.8598</v>
      </c>
    </row>
    <row r="221" spans="1:5" x14ac:dyDescent="0.3">
      <c r="A221" s="1">
        <v>43704</v>
      </c>
      <c r="B221" s="37">
        <v>15.871</v>
      </c>
      <c r="C221" s="37">
        <v>15.871</v>
      </c>
      <c r="D221" s="37">
        <v>15.871</v>
      </c>
      <c r="E221" s="37">
        <v>15.871</v>
      </c>
    </row>
    <row r="222" spans="1:5" x14ac:dyDescent="0.3">
      <c r="A222" s="2">
        <v>43705</v>
      </c>
      <c r="B222" s="36">
        <v>15.882099999999999</v>
      </c>
      <c r="C222" s="36">
        <v>15.882099999999999</v>
      </c>
      <c r="D222" s="36">
        <v>15.882099999999999</v>
      </c>
      <c r="E222" s="36">
        <v>15.882099999999999</v>
      </c>
    </row>
    <row r="223" spans="1:5" x14ac:dyDescent="0.3">
      <c r="A223" s="1">
        <v>43706</v>
      </c>
      <c r="B223" s="37">
        <v>15.8933</v>
      </c>
      <c r="C223" s="37">
        <v>15.8933</v>
      </c>
      <c r="D223" s="37">
        <v>15.8933</v>
      </c>
      <c r="E223" s="37">
        <v>15.8933</v>
      </c>
    </row>
    <row r="224" spans="1:5" x14ac:dyDescent="0.3">
      <c r="A224" s="2">
        <v>43707</v>
      </c>
      <c r="B224" s="36">
        <v>15.904400000000001</v>
      </c>
      <c r="C224" s="36">
        <v>15.904400000000001</v>
      </c>
      <c r="D224" s="36">
        <v>15.904400000000001</v>
      </c>
      <c r="E224" s="36">
        <v>15.904400000000001</v>
      </c>
    </row>
    <row r="225" spans="1:5" x14ac:dyDescent="0.3">
      <c r="A225" s="1">
        <v>43708</v>
      </c>
      <c r="B225" s="37">
        <v>15.9156</v>
      </c>
      <c r="C225" s="37">
        <v>15.9156</v>
      </c>
      <c r="D225" s="37">
        <v>15.9156</v>
      </c>
      <c r="E225" s="37">
        <v>15.9156</v>
      </c>
    </row>
    <row r="226" spans="1:5" x14ac:dyDescent="0.3">
      <c r="A226" s="2">
        <v>43709</v>
      </c>
      <c r="B226" s="36">
        <v>15.9268</v>
      </c>
      <c r="C226" s="36">
        <v>15.9268</v>
      </c>
      <c r="D226" s="36">
        <v>15.9268</v>
      </c>
      <c r="E226" s="36">
        <v>15.9268</v>
      </c>
    </row>
    <row r="227" spans="1:5" x14ac:dyDescent="0.3">
      <c r="A227" s="1">
        <v>43710</v>
      </c>
      <c r="B227" s="37">
        <v>15.938000000000001</v>
      </c>
      <c r="C227" s="37">
        <v>15.938000000000001</v>
      </c>
      <c r="D227" s="37">
        <v>15.938000000000001</v>
      </c>
      <c r="E227" s="37">
        <v>15.938000000000001</v>
      </c>
    </row>
    <row r="228" spans="1:5" x14ac:dyDescent="0.3">
      <c r="A228" s="2">
        <v>43711</v>
      </c>
      <c r="B228" s="36">
        <v>15.949199999999999</v>
      </c>
      <c r="C228" s="36">
        <v>15.949199999999999</v>
      </c>
      <c r="D228" s="36">
        <v>15.949199999999999</v>
      </c>
      <c r="E228" s="36">
        <v>15.949199999999999</v>
      </c>
    </row>
    <row r="229" spans="1:5" x14ac:dyDescent="0.3">
      <c r="A229" s="1">
        <v>43712</v>
      </c>
      <c r="B229" s="37">
        <v>15.9604</v>
      </c>
      <c r="C229" s="37">
        <v>15.9604</v>
      </c>
      <c r="D229" s="37">
        <v>15.9604</v>
      </c>
      <c r="E229" s="37">
        <v>15.9604</v>
      </c>
    </row>
    <row r="230" spans="1:5" x14ac:dyDescent="0.3">
      <c r="A230" s="2">
        <v>43713</v>
      </c>
      <c r="B230" s="36">
        <v>15.9716</v>
      </c>
      <c r="C230" s="36">
        <v>15.9716</v>
      </c>
      <c r="D230" s="36">
        <v>15.9716</v>
      </c>
      <c r="E230" s="36">
        <v>15.9716</v>
      </c>
    </row>
    <row r="231" spans="1:5" x14ac:dyDescent="0.3">
      <c r="A231" s="1">
        <v>43714</v>
      </c>
      <c r="B231" s="37">
        <v>15.982799999999999</v>
      </c>
      <c r="C231" s="37">
        <v>15.982799999999999</v>
      </c>
      <c r="D231" s="37">
        <v>15.982799999999999</v>
      </c>
      <c r="E231" s="37">
        <v>15.982799999999999</v>
      </c>
    </row>
    <row r="232" spans="1:5" x14ac:dyDescent="0.3">
      <c r="A232" s="2">
        <v>43715</v>
      </c>
      <c r="B232" s="36">
        <v>15.994</v>
      </c>
      <c r="C232" s="36">
        <v>15.994</v>
      </c>
      <c r="D232" s="36">
        <v>15.994</v>
      </c>
      <c r="E232" s="36">
        <v>15.994</v>
      </c>
    </row>
    <row r="233" spans="1:5" x14ac:dyDescent="0.3">
      <c r="A233" s="1">
        <v>43716</v>
      </c>
      <c r="B233" s="37">
        <v>16.005199999999999</v>
      </c>
      <c r="C233" s="37">
        <v>16.005199999999999</v>
      </c>
      <c r="D233" s="37">
        <v>16.005199999999999</v>
      </c>
      <c r="E233" s="37">
        <v>16.005199999999999</v>
      </c>
    </row>
    <row r="234" spans="1:5" x14ac:dyDescent="0.3">
      <c r="A234" s="2">
        <v>43717</v>
      </c>
      <c r="B234" s="36">
        <v>16.016500000000001</v>
      </c>
      <c r="C234" s="36">
        <v>16.016500000000001</v>
      </c>
      <c r="D234" s="36">
        <v>16.016500000000001</v>
      </c>
      <c r="E234" s="36">
        <v>16.016500000000001</v>
      </c>
    </row>
    <row r="235" spans="1:5" x14ac:dyDescent="0.3">
      <c r="A235" s="1">
        <v>43718</v>
      </c>
      <c r="B235" s="37">
        <v>16.027699999999999</v>
      </c>
      <c r="C235" s="37">
        <v>16.027699999999999</v>
      </c>
      <c r="D235" s="37">
        <v>16.027699999999999</v>
      </c>
      <c r="E235" s="37">
        <v>16.027699999999999</v>
      </c>
    </row>
    <row r="236" spans="1:5" x14ac:dyDescent="0.3">
      <c r="A236" s="2">
        <v>43719</v>
      </c>
      <c r="B236" s="36">
        <v>16.039000000000001</v>
      </c>
      <c r="C236" s="36">
        <v>16.039000000000001</v>
      </c>
      <c r="D236" s="36">
        <v>16.039000000000001</v>
      </c>
      <c r="E236" s="36">
        <v>16.039000000000001</v>
      </c>
    </row>
    <row r="237" spans="1:5" x14ac:dyDescent="0.3">
      <c r="A237" s="1">
        <v>43720</v>
      </c>
      <c r="B237" s="37">
        <v>16.0502</v>
      </c>
      <c r="C237" s="37">
        <v>16.0502</v>
      </c>
      <c r="D237" s="37">
        <v>16.0502</v>
      </c>
      <c r="E237" s="37">
        <v>16.0502</v>
      </c>
    </row>
    <row r="238" spans="1:5" x14ac:dyDescent="0.3">
      <c r="A238" s="2">
        <v>43721</v>
      </c>
      <c r="B238" s="36">
        <v>16.061499999999999</v>
      </c>
      <c r="C238" s="36">
        <v>16.061499999999999</v>
      </c>
      <c r="D238" s="36">
        <v>16.061499999999999</v>
      </c>
      <c r="E238" s="36">
        <v>16.061499999999999</v>
      </c>
    </row>
    <row r="239" spans="1:5" x14ac:dyDescent="0.3">
      <c r="A239" s="1">
        <v>43722</v>
      </c>
      <c r="B239" s="37">
        <v>16.072800000000001</v>
      </c>
      <c r="C239" s="37">
        <v>16.072800000000001</v>
      </c>
      <c r="D239" s="37">
        <v>16.072800000000001</v>
      </c>
      <c r="E239" s="37">
        <v>16.072800000000001</v>
      </c>
    </row>
    <row r="240" spans="1:5" x14ac:dyDescent="0.3">
      <c r="A240" s="2">
        <v>43723</v>
      </c>
      <c r="B240" s="36">
        <v>16.084099999999999</v>
      </c>
      <c r="C240" s="36">
        <v>16.084099999999999</v>
      </c>
      <c r="D240" s="36">
        <v>16.084099999999999</v>
      </c>
      <c r="E240" s="36">
        <v>16.084099999999999</v>
      </c>
    </row>
    <row r="241" spans="1:5" x14ac:dyDescent="0.3">
      <c r="A241" s="1">
        <v>43724</v>
      </c>
      <c r="B241" s="37">
        <v>16.1051</v>
      </c>
      <c r="C241" s="37">
        <v>16.1051</v>
      </c>
      <c r="D241" s="37">
        <v>16.1051</v>
      </c>
      <c r="E241" s="37">
        <v>16.1051</v>
      </c>
    </row>
    <row r="242" spans="1:5" x14ac:dyDescent="0.3">
      <c r="A242" s="2">
        <v>43725</v>
      </c>
      <c r="B242" s="36">
        <v>16.126200000000001</v>
      </c>
      <c r="C242" s="36">
        <v>16.126200000000001</v>
      </c>
      <c r="D242" s="36">
        <v>16.126200000000001</v>
      </c>
      <c r="E242" s="36">
        <v>16.126200000000001</v>
      </c>
    </row>
    <row r="243" spans="1:5" x14ac:dyDescent="0.3">
      <c r="A243" s="1">
        <v>43726</v>
      </c>
      <c r="B243" s="37">
        <v>16.147300000000001</v>
      </c>
      <c r="C243" s="37">
        <v>16.147300000000001</v>
      </c>
      <c r="D243" s="37">
        <v>16.147300000000001</v>
      </c>
      <c r="E243" s="37">
        <v>16.147300000000001</v>
      </c>
    </row>
    <row r="244" spans="1:5" x14ac:dyDescent="0.3">
      <c r="A244" s="2">
        <v>43727</v>
      </c>
      <c r="B244" s="36">
        <v>16.168399999999998</v>
      </c>
      <c r="C244" s="36">
        <v>16.168399999999998</v>
      </c>
      <c r="D244" s="36">
        <v>16.168399999999998</v>
      </c>
      <c r="E244" s="36">
        <v>16.168399999999998</v>
      </c>
    </row>
    <row r="245" spans="1:5" x14ac:dyDescent="0.3">
      <c r="A245" s="1">
        <v>43728</v>
      </c>
      <c r="B245" s="37">
        <v>16.189599999999999</v>
      </c>
      <c r="C245" s="37">
        <v>16.189599999999999</v>
      </c>
      <c r="D245" s="37">
        <v>16.189599999999999</v>
      </c>
      <c r="E245" s="37">
        <v>16.189599999999999</v>
      </c>
    </row>
    <row r="246" spans="1:5" x14ac:dyDescent="0.3">
      <c r="A246" s="2">
        <v>43729</v>
      </c>
      <c r="B246" s="36">
        <v>16.210699999999999</v>
      </c>
      <c r="C246" s="36">
        <v>16.210699999999999</v>
      </c>
      <c r="D246" s="36">
        <v>16.210699999999999</v>
      </c>
      <c r="E246" s="36">
        <v>16.210699999999999</v>
      </c>
    </row>
    <row r="247" spans="1:5" x14ac:dyDescent="0.3">
      <c r="A247" s="1">
        <v>43730</v>
      </c>
      <c r="B247" s="37">
        <v>16.2319</v>
      </c>
      <c r="C247" s="37">
        <v>16.2319</v>
      </c>
      <c r="D247" s="37">
        <v>16.2319</v>
      </c>
      <c r="E247" s="37">
        <v>16.2319</v>
      </c>
    </row>
    <row r="248" spans="1:5" x14ac:dyDescent="0.3">
      <c r="A248" s="2">
        <v>43731</v>
      </c>
      <c r="B248" s="36">
        <v>16.2532</v>
      </c>
      <c r="C248" s="36">
        <v>16.2532</v>
      </c>
      <c r="D248" s="36">
        <v>16.2532</v>
      </c>
      <c r="E248" s="36">
        <v>16.2532</v>
      </c>
    </row>
    <row r="249" spans="1:5" x14ac:dyDescent="0.3">
      <c r="A249" s="1">
        <v>43732</v>
      </c>
      <c r="B249" s="37">
        <v>16.2744</v>
      </c>
      <c r="C249" s="37">
        <v>16.2744</v>
      </c>
      <c r="D249" s="37">
        <v>16.2744</v>
      </c>
      <c r="E249" s="37">
        <v>16.2744</v>
      </c>
    </row>
    <row r="250" spans="1:5" x14ac:dyDescent="0.3">
      <c r="A250" s="2">
        <v>43733</v>
      </c>
      <c r="B250" s="36">
        <v>16.2957</v>
      </c>
      <c r="C250" s="36">
        <v>16.2957</v>
      </c>
      <c r="D250" s="36">
        <v>16.2957</v>
      </c>
      <c r="E250" s="36">
        <v>16.2957</v>
      </c>
    </row>
    <row r="251" spans="1:5" x14ac:dyDescent="0.3">
      <c r="A251" s="1">
        <v>43734</v>
      </c>
      <c r="B251" s="37">
        <v>16.3171</v>
      </c>
      <c r="C251" s="37">
        <v>16.3171</v>
      </c>
      <c r="D251" s="37">
        <v>16.3171</v>
      </c>
      <c r="E251" s="37">
        <v>16.3171</v>
      </c>
    </row>
    <row r="252" spans="1:5" x14ac:dyDescent="0.3">
      <c r="A252" s="2">
        <v>43735</v>
      </c>
      <c r="B252" s="36">
        <v>16.3384</v>
      </c>
      <c r="C252" s="36">
        <v>16.3384</v>
      </c>
      <c r="D252" s="36">
        <v>16.3384</v>
      </c>
      <c r="E252" s="36">
        <v>16.3384</v>
      </c>
    </row>
    <row r="253" spans="1:5" x14ac:dyDescent="0.3">
      <c r="A253" s="1">
        <v>43736</v>
      </c>
      <c r="B253" s="37">
        <v>16.3598</v>
      </c>
      <c r="C253" s="37">
        <v>16.3598</v>
      </c>
      <c r="D253" s="37">
        <v>16.3598</v>
      </c>
      <c r="E253" s="37">
        <v>16.3598</v>
      </c>
    </row>
    <row r="254" spans="1:5" x14ac:dyDescent="0.3">
      <c r="A254" s="2">
        <v>43737</v>
      </c>
      <c r="B254" s="36">
        <v>16.3812</v>
      </c>
      <c r="C254" s="36">
        <v>16.3812</v>
      </c>
      <c r="D254" s="36">
        <v>16.3812</v>
      </c>
      <c r="E254" s="36">
        <v>16.3812</v>
      </c>
    </row>
    <row r="255" spans="1:5" x14ac:dyDescent="0.3">
      <c r="A255" s="1">
        <v>43738</v>
      </c>
      <c r="B255" s="37">
        <v>16.4026</v>
      </c>
      <c r="C255" s="37">
        <v>16.4026</v>
      </c>
      <c r="D255" s="37">
        <v>16.4026</v>
      </c>
      <c r="E255" s="37">
        <v>16.4026</v>
      </c>
    </row>
    <row r="256" spans="1:5" x14ac:dyDescent="0.3">
      <c r="A256" s="2">
        <v>43739</v>
      </c>
      <c r="B256" s="36">
        <v>16.424099999999999</v>
      </c>
      <c r="C256" s="36">
        <v>16.424099999999999</v>
      </c>
      <c r="D256" s="36">
        <v>16.424099999999999</v>
      </c>
      <c r="E256" s="36">
        <v>16.424099999999999</v>
      </c>
    </row>
    <row r="257" spans="1:5" x14ac:dyDescent="0.3">
      <c r="A257" s="1">
        <v>43740</v>
      </c>
      <c r="B257" s="37">
        <v>16.445499999999999</v>
      </c>
      <c r="C257" s="37">
        <v>16.445499999999999</v>
      </c>
      <c r="D257" s="37">
        <v>16.445499999999999</v>
      </c>
      <c r="E257" s="37">
        <v>16.445499999999999</v>
      </c>
    </row>
    <row r="258" spans="1:5" x14ac:dyDescent="0.3">
      <c r="A258" s="2">
        <v>43741</v>
      </c>
      <c r="B258" s="36">
        <v>16.467099999999999</v>
      </c>
      <c r="C258" s="36">
        <v>16.467099999999999</v>
      </c>
      <c r="D258" s="36">
        <v>16.467099999999999</v>
      </c>
      <c r="E258" s="36">
        <v>16.467099999999999</v>
      </c>
    </row>
    <row r="259" spans="1:5" x14ac:dyDescent="0.3">
      <c r="A259" s="1">
        <v>43742</v>
      </c>
      <c r="B259" s="37">
        <v>16.488600000000002</v>
      </c>
      <c r="C259" s="37">
        <v>16.488600000000002</v>
      </c>
      <c r="D259" s="37">
        <v>16.488600000000002</v>
      </c>
      <c r="E259" s="37">
        <v>16.488600000000002</v>
      </c>
    </row>
    <row r="260" spans="1:5" x14ac:dyDescent="0.3">
      <c r="A260" s="2">
        <v>43743</v>
      </c>
      <c r="B260" s="36">
        <v>16.510200000000001</v>
      </c>
      <c r="C260" s="36">
        <v>16.510200000000001</v>
      </c>
      <c r="D260" s="36">
        <v>16.510200000000001</v>
      </c>
      <c r="E260" s="36">
        <v>16.510200000000001</v>
      </c>
    </row>
    <row r="261" spans="1:5" x14ac:dyDescent="0.3">
      <c r="A261" s="1">
        <v>43744</v>
      </c>
      <c r="B261" s="37">
        <v>16.5318</v>
      </c>
      <c r="C261" s="37">
        <v>16.5318</v>
      </c>
      <c r="D261" s="37">
        <v>16.5318</v>
      </c>
      <c r="E261" s="37">
        <v>16.5318</v>
      </c>
    </row>
    <row r="262" spans="1:5" x14ac:dyDescent="0.3">
      <c r="A262" s="2">
        <v>43745</v>
      </c>
      <c r="B262" s="36">
        <v>16.5534</v>
      </c>
      <c r="C262" s="36">
        <v>16.5534</v>
      </c>
      <c r="D262" s="36">
        <v>16.5534</v>
      </c>
      <c r="E262" s="36">
        <v>16.5534</v>
      </c>
    </row>
    <row r="263" spans="1:5" x14ac:dyDescent="0.3">
      <c r="A263" s="1">
        <v>43746</v>
      </c>
      <c r="B263" s="37">
        <v>16.575099999999999</v>
      </c>
      <c r="C263" s="37">
        <v>16.575099999999999</v>
      </c>
      <c r="D263" s="37">
        <v>16.575099999999999</v>
      </c>
      <c r="E263" s="37">
        <v>16.575099999999999</v>
      </c>
    </row>
    <row r="264" spans="1:5" x14ac:dyDescent="0.3">
      <c r="A264" s="2">
        <v>43747</v>
      </c>
      <c r="B264" s="36">
        <v>16.596699999999998</v>
      </c>
      <c r="C264" s="36">
        <v>16.596699999999998</v>
      </c>
      <c r="D264" s="36">
        <v>16.596699999999998</v>
      </c>
      <c r="E264" s="36">
        <v>16.596699999999998</v>
      </c>
    </row>
    <row r="265" spans="1:5" x14ac:dyDescent="0.3">
      <c r="A265" s="1">
        <v>43748</v>
      </c>
      <c r="B265" s="37">
        <v>16.618500000000001</v>
      </c>
      <c r="C265" s="37">
        <v>16.618500000000001</v>
      </c>
      <c r="D265" s="37">
        <v>16.618500000000001</v>
      </c>
      <c r="E265" s="37">
        <v>16.618500000000001</v>
      </c>
    </row>
    <row r="266" spans="1:5" x14ac:dyDescent="0.3">
      <c r="A266" s="2">
        <v>43749</v>
      </c>
      <c r="B266" s="36">
        <v>16.6402</v>
      </c>
      <c r="C266" s="36">
        <v>16.6402</v>
      </c>
      <c r="D266" s="36">
        <v>16.6402</v>
      </c>
      <c r="E266" s="36">
        <v>16.6402</v>
      </c>
    </row>
    <row r="267" spans="1:5" x14ac:dyDescent="0.3">
      <c r="A267" s="1">
        <v>43750</v>
      </c>
      <c r="B267" s="37">
        <v>16.661999999999999</v>
      </c>
      <c r="C267" s="37">
        <v>16.661999999999999</v>
      </c>
      <c r="D267" s="37">
        <v>16.661999999999999</v>
      </c>
      <c r="E267" s="37">
        <v>16.661999999999999</v>
      </c>
    </row>
    <row r="268" spans="1:5" x14ac:dyDescent="0.3">
      <c r="A268" s="2">
        <v>43751</v>
      </c>
      <c r="B268" s="36">
        <v>16.683800000000002</v>
      </c>
      <c r="C268" s="36">
        <v>16.683800000000002</v>
      </c>
      <c r="D268" s="36">
        <v>16.683800000000002</v>
      </c>
      <c r="E268" s="36">
        <v>16.683800000000002</v>
      </c>
    </row>
    <row r="269" spans="1:5" x14ac:dyDescent="0.3">
      <c r="A269" s="1">
        <v>43752</v>
      </c>
      <c r="B269" s="37">
        <v>16.7056</v>
      </c>
      <c r="C269" s="37">
        <v>16.7056</v>
      </c>
      <c r="D269" s="37">
        <v>16.7056</v>
      </c>
      <c r="E269" s="37">
        <v>16.7056</v>
      </c>
    </row>
    <row r="270" spans="1:5" x14ac:dyDescent="0.3">
      <c r="A270" s="2">
        <v>43753</v>
      </c>
      <c r="B270" s="36">
        <v>16.727399999999999</v>
      </c>
      <c r="C270" s="36">
        <v>16.727399999999999</v>
      </c>
      <c r="D270" s="36">
        <v>16.727399999999999</v>
      </c>
      <c r="E270" s="36">
        <v>16.727399999999999</v>
      </c>
    </row>
    <row r="271" spans="1:5" x14ac:dyDescent="0.3">
      <c r="A271" s="1">
        <v>43754</v>
      </c>
      <c r="B271" s="37">
        <v>16.758400000000002</v>
      </c>
      <c r="C271" s="37">
        <v>16.758400000000002</v>
      </c>
      <c r="D271" s="37">
        <v>16.758400000000002</v>
      </c>
      <c r="E271" s="37">
        <v>16.758400000000002</v>
      </c>
    </row>
    <row r="272" spans="1:5" x14ac:dyDescent="0.3">
      <c r="A272" s="2">
        <v>43755</v>
      </c>
      <c r="B272" s="36">
        <v>16.789400000000001</v>
      </c>
      <c r="C272" s="36">
        <v>16.789400000000001</v>
      </c>
      <c r="D272" s="36">
        <v>16.789400000000001</v>
      </c>
      <c r="E272" s="36">
        <v>16.789400000000001</v>
      </c>
    </row>
    <row r="273" spans="1:5" x14ac:dyDescent="0.3">
      <c r="A273" s="1">
        <v>43756</v>
      </c>
      <c r="B273" s="37">
        <v>16.820499999999999</v>
      </c>
      <c r="C273" s="37">
        <v>16.820499999999999</v>
      </c>
      <c r="D273" s="37">
        <v>16.820499999999999</v>
      </c>
      <c r="E273" s="37">
        <v>16.820499999999999</v>
      </c>
    </row>
    <row r="274" spans="1:5" x14ac:dyDescent="0.3">
      <c r="A274" s="2">
        <v>43757</v>
      </c>
      <c r="B274" s="36">
        <v>16.851600000000001</v>
      </c>
      <c r="C274" s="36">
        <v>16.851600000000001</v>
      </c>
      <c r="D274" s="36">
        <v>16.851600000000001</v>
      </c>
      <c r="E274" s="36">
        <v>16.851600000000001</v>
      </c>
    </row>
    <row r="275" spans="1:5" x14ac:dyDescent="0.3">
      <c r="A275" s="1">
        <v>43758</v>
      </c>
      <c r="B275" s="37">
        <v>16.8828</v>
      </c>
      <c r="C275" s="37">
        <v>16.8828</v>
      </c>
      <c r="D275" s="37">
        <v>16.8828</v>
      </c>
      <c r="E275" s="37">
        <v>16.8828</v>
      </c>
    </row>
    <row r="276" spans="1:5" x14ac:dyDescent="0.3">
      <c r="A276" s="2">
        <v>43759</v>
      </c>
      <c r="B276" s="36">
        <v>16.914100000000001</v>
      </c>
      <c r="C276" s="36">
        <v>16.914100000000001</v>
      </c>
      <c r="D276" s="36">
        <v>16.914100000000001</v>
      </c>
      <c r="E276" s="36">
        <v>16.914100000000001</v>
      </c>
    </row>
    <row r="277" spans="1:5" x14ac:dyDescent="0.3">
      <c r="A277" s="1">
        <v>43760</v>
      </c>
      <c r="B277" s="37">
        <v>16.945399999999999</v>
      </c>
      <c r="C277" s="37">
        <v>16.945399999999999</v>
      </c>
      <c r="D277" s="37">
        <v>16.945399999999999</v>
      </c>
      <c r="E277" s="37">
        <v>16.945399999999999</v>
      </c>
    </row>
    <row r="278" spans="1:5" x14ac:dyDescent="0.3">
      <c r="A278" s="2">
        <v>43761</v>
      </c>
      <c r="B278" s="36">
        <v>16.976700000000001</v>
      </c>
      <c r="C278" s="36">
        <v>16.976700000000001</v>
      </c>
      <c r="D278" s="36">
        <v>16.976700000000001</v>
      </c>
      <c r="E278" s="36">
        <v>16.976700000000001</v>
      </c>
    </row>
    <row r="279" spans="1:5" x14ac:dyDescent="0.3">
      <c r="A279" s="1">
        <v>43762</v>
      </c>
      <c r="B279" s="37">
        <v>17.008199999999999</v>
      </c>
      <c r="C279" s="37">
        <v>17.008199999999999</v>
      </c>
      <c r="D279" s="37">
        <v>17.008199999999999</v>
      </c>
      <c r="E279" s="37">
        <v>17.008199999999999</v>
      </c>
    </row>
    <row r="280" spans="1:5" x14ac:dyDescent="0.3">
      <c r="A280" s="2">
        <v>43763</v>
      </c>
      <c r="B280" s="36">
        <v>17.0396</v>
      </c>
      <c r="C280" s="36">
        <v>17.0396</v>
      </c>
      <c r="D280" s="36">
        <v>17.0396</v>
      </c>
      <c r="E280" s="36">
        <v>17.0396</v>
      </c>
    </row>
    <row r="281" spans="1:5" x14ac:dyDescent="0.3">
      <c r="A281" s="1">
        <v>43764</v>
      </c>
      <c r="B281" s="37">
        <v>17.071200000000001</v>
      </c>
      <c r="C281" s="37">
        <v>17.071200000000001</v>
      </c>
      <c r="D281" s="37">
        <v>17.071200000000001</v>
      </c>
      <c r="E281" s="37">
        <v>17.071200000000001</v>
      </c>
    </row>
    <row r="282" spans="1:5" x14ac:dyDescent="0.3">
      <c r="A282" s="2">
        <v>43765</v>
      </c>
      <c r="B282" s="36">
        <v>17.102799999999998</v>
      </c>
      <c r="C282" s="36">
        <v>17.102799999999998</v>
      </c>
      <c r="D282" s="36">
        <v>17.102799999999998</v>
      </c>
      <c r="E282" s="36">
        <v>17.102799999999998</v>
      </c>
    </row>
    <row r="283" spans="1:5" x14ac:dyDescent="0.3">
      <c r="A283" s="1">
        <v>43766</v>
      </c>
      <c r="B283" s="37">
        <v>17.134399999999999</v>
      </c>
      <c r="C283" s="37">
        <v>17.134399999999999</v>
      </c>
      <c r="D283" s="37">
        <v>17.134399999999999</v>
      </c>
      <c r="E283" s="37">
        <v>17.134399999999999</v>
      </c>
    </row>
    <row r="284" spans="1:5" x14ac:dyDescent="0.3">
      <c r="A284" s="2">
        <v>43767</v>
      </c>
      <c r="B284" s="36">
        <v>17.1661</v>
      </c>
      <c r="C284" s="36">
        <v>17.1661</v>
      </c>
      <c r="D284" s="36">
        <v>17.1661</v>
      </c>
      <c r="E284" s="36">
        <v>17.1661</v>
      </c>
    </row>
    <row r="285" spans="1:5" x14ac:dyDescent="0.3">
      <c r="A285" s="1">
        <v>43768</v>
      </c>
      <c r="B285" s="37">
        <v>17.197900000000001</v>
      </c>
      <c r="C285" s="37">
        <v>17.197900000000001</v>
      </c>
      <c r="D285" s="37">
        <v>17.197900000000001</v>
      </c>
      <c r="E285" s="37">
        <v>17.197900000000001</v>
      </c>
    </row>
    <row r="286" spans="1:5" x14ac:dyDescent="0.3">
      <c r="A286" s="2">
        <v>43769</v>
      </c>
      <c r="B286" s="36">
        <v>17.229800000000001</v>
      </c>
      <c r="C286" s="36">
        <v>17.229800000000001</v>
      </c>
      <c r="D286" s="36">
        <v>17.229800000000001</v>
      </c>
      <c r="E286" s="36">
        <v>17.229800000000001</v>
      </c>
    </row>
    <row r="287" spans="1:5" x14ac:dyDescent="0.3">
      <c r="A287" s="1">
        <v>43770</v>
      </c>
      <c r="B287" s="37">
        <v>17.261600000000001</v>
      </c>
      <c r="C287" s="37">
        <v>17.261600000000001</v>
      </c>
      <c r="D287" s="37">
        <v>17.261600000000001</v>
      </c>
      <c r="E287" s="37">
        <v>17.261600000000001</v>
      </c>
    </row>
    <row r="288" spans="1:5" x14ac:dyDescent="0.3">
      <c r="A288" s="2">
        <v>43771</v>
      </c>
      <c r="B288" s="36">
        <v>17.293600000000001</v>
      </c>
      <c r="C288" s="36">
        <v>17.293600000000001</v>
      </c>
      <c r="D288" s="36">
        <v>17.293600000000001</v>
      </c>
      <c r="E288" s="36">
        <v>17.293600000000001</v>
      </c>
    </row>
    <row r="289" spans="1:5" x14ac:dyDescent="0.3">
      <c r="A289" s="1">
        <v>43772</v>
      </c>
      <c r="B289" s="37">
        <v>17.325600000000001</v>
      </c>
      <c r="C289" s="37">
        <v>17.325600000000001</v>
      </c>
      <c r="D289" s="37">
        <v>17.325600000000001</v>
      </c>
      <c r="E289" s="37">
        <v>17.325600000000001</v>
      </c>
    </row>
    <row r="290" spans="1:5" x14ac:dyDescent="0.3">
      <c r="A290" s="2">
        <v>43773</v>
      </c>
      <c r="B290" s="36">
        <v>17.357700000000001</v>
      </c>
      <c r="C290" s="36">
        <v>17.357700000000001</v>
      </c>
      <c r="D290" s="36">
        <v>17.357700000000001</v>
      </c>
      <c r="E290" s="36">
        <v>17.357700000000001</v>
      </c>
    </row>
    <row r="291" spans="1:5" x14ac:dyDescent="0.3">
      <c r="A291" s="1">
        <v>43774</v>
      </c>
      <c r="B291" s="37">
        <v>17.389800000000001</v>
      </c>
      <c r="C291" s="37">
        <v>17.389800000000001</v>
      </c>
      <c r="D291" s="37">
        <v>17.389800000000001</v>
      </c>
      <c r="E291" s="37">
        <v>17.389800000000001</v>
      </c>
    </row>
    <row r="292" spans="1:5" x14ac:dyDescent="0.3">
      <c r="A292" s="2">
        <v>43775</v>
      </c>
      <c r="B292" s="36">
        <v>17.422000000000001</v>
      </c>
      <c r="C292" s="36">
        <v>17.422000000000001</v>
      </c>
      <c r="D292" s="36">
        <v>17.422000000000001</v>
      </c>
      <c r="E292" s="36">
        <v>17.422000000000001</v>
      </c>
    </row>
    <row r="293" spans="1:5" x14ac:dyDescent="0.3">
      <c r="A293" s="1">
        <v>43776</v>
      </c>
      <c r="B293" s="37">
        <v>17.4542</v>
      </c>
      <c r="C293" s="37">
        <v>17.4542</v>
      </c>
      <c r="D293" s="37">
        <v>17.4542</v>
      </c>
      <c r="E293" s="37">
        <v>17.4542</v>
      </c>
    </row>
    <row r="294" spans="1:5" x14ac:dyDescent="0.3">
      <c r="A294" s="2">
        <v>43777</v>
      </c>
      <c r="B294" s="36">
        <v>17.486499999999999</v>
      </c>
      <c r="C294" s="36">
        <v>17.486499999999999</v>
      </c>
      <c r="D294" s="36">
        <v>17.486499999999999</v>
      </c>
      <c r="E294" s="36">
        <v>17.486499999999999</v>
      </c>
    </row>
    <row r="295" spans="1:5" x14ac:dyDescent="0.3">
      <c r="A295" s="1">
        <v>43778</v>
      </c>
      <c r="B295" s="37">
        <v>17.518899999999999</v>
      </c>
      <c r="C295" s="37">
        <v>17.518899999999999</v>
      </c>
      <c r="D295" s="37">
        <v>17.518899999999999</v>
      </c>
      <c r="E295" s="37">
        <v>17.518899999999999</v>
      </c>
    </row>
    <row r="296" spans="1:5" x14ac:dyDescent="0.3">
      <c r="A296" s="2">
        <v>43779</v>
      </c>
      <c r="B296" s="36">
        <v>17.551300000000001</v>
      </c>
      <c r="C296" s="36">
        <v>17.551300000000001</v>
      </c>
      <c r="D296" s="36">
        <v>17.551300000000001</v>
      </c>
      <c r="E296" s="36">
        <v>17.551300000000001</v>
      </c>
    </row>
    <row r="297" spans="1:5" x14ac:dyDescent="0.3">
      <c r="A297" s="1">
        <v>43780</v>
      </c>
      <c r="B297" s="37">
        <v>17.5838</v>
      </c>
      <c r="C297" s="37">
        <v>17.5838</v>
      </c>
      <c r="D297" s="37">
        <v>17.5838</v>
      </c>
      <c r="E297" s="37">
        <v>17.5838</v>
      </c>
    </row>
    <row r="298" spans="1:5" x14ac:dyDescent="0.3">
      <c r="A298" s="2">
        <v>43781</v>
      </c>
      <c r="B298" s="36">
        <v>17.616399999999999</v>
      </c>
      <c r="C298" s="36">
        <v>17.616399999999999</v>
      </c>
      <c r="D298" s="36">
        <v>17.616399999999999</v>
      </c>
      <c r="E298" s="36">
        <v>17.616399999999999</v>
      </c>
    </row>
    <row r="299" spans="1:5" x14ac:dyDescent="0.3">
      <c r="A299" s="1">
        <v>43782</v>
      </c>
      <c r="B299" s="37">
        <v>17.649000000000001</v>
      </c>
      <c r="C299" s="37">
        <v>17.649000000000001</v>
      </c>
      <c r="D299" s="37">
        <v>17.649000000000001</v>
      </c>
      <c r="E299" s="37">
        <v>17.649000000000001</v>
      </c>
    </row>
    <row r="300" spans="1:5" x14ac:dyDescent="0.3">
      <c r="A300" s="2">
        <v>43783</v>
      </c>
      <c r="B300" s="36">
        <v>17.6816</v>
      </c>
      <c r="C300" s="36">
        <v>17.6816</v>
      </c>
      <c r="D300" s="36">
        <v>17.6816</v>
      </c>
      <c r="E300" s="36">
        <v>17.6816</v>
      </c>
    </row>
    <row r="301" spans="1:5" x14ac:dyDescent="0.3">
      <c r="A301" s="1">
        <v>43784</v>
      </c>
      <c r="B301" s="37">
        <v>17.714400000000001</v>
      </c>
      <c r="C301" s="37">
        <v>17.714400000000001</v>
      </c>
      <c r="D301" s="37">
        <v>17.714400000000001</v>
      </c>
      <c r="E301" s="37">
        <v>17.714400000000001</v>
      </c>
    </row>
    <row r="302" spans="1:5" x14ac:dyDescent="0.3">
      <c r="A302" s="2">
        <v>43785</v>
      </c>
      <c r="B302" s="36">
        <v>17.733499999999999</v>
      </c>
      <c r="C302" s="36">
        <v>17.733499999999999</v>
      </c>
      <c r="D302" s="36">
        <v>17.733499999999999</v>
      </c>
      <c r="E302" s="36">
        <v>17.733499999999999</v>
      </c>
    </row>
    <row r="303" spans="1:5" x14ac:dyDescent="0.3">
      <c r="A303" s="1">
        <v>43786</v>
      </c>
      <c r="B303" s="37">
        <v>17.752700000000001</v>
      </c>
      <c r="C303" s="37">
        <v>17.752700000000001</v>
      </c>
      <c r="D303" s="37">
        <v>17.752700000000001</v>
      </c>
      <c r="E303" s="37">
        <v>17.752700000000001</v>
      </c>
    </row>
    <row r="304" spans="1:5" x14ac:dyDescent="0.3">
      <c r="A304" s="2">
        <v>43787</v>
      </c>
      <c r="B304" s="36">
        <v>17.771999999999998</v>
      </c>
      <c r="C304" s="36">
        <v>17.771999999999998</v>
      </c>
      <c r="D304" s="36">
        <v>17.771999999999998</v>
      </c>
      <c r="E304" s="36">
        <v>17.771999999999998</v>
      </c>
    </row>
    <row r="305" spans="1:5" x14ac:dyDescent="0.3">
      <c r="A305" s="1">
        <v>43788</v>
      </c>
      <c r="B305" s="37">
        <v>17.7912</v>
      </c>
      <c r="C305" s="37">
        <v>17.7912</v>
      </c>
      <c r="D305" s="37">
        <v>17.7912</v>
      </c>
      <c r="E305" s="37">
        <v>17.7912</v>
      </c>
    </row>
    <row r="306" spans="1:5" x14ac:dyDescent="0.3">
      <c r="A306" s="2">
        <v>43789</v>
      </c>
      <c r="B306" s="36">
        <v>17.810500000000001</v>
      </c>
      <c r="C306" s="36">
        <v>17.810500000000001</v>
      </c>
      <c r="D306" s="36">
        <v>17.810500000000001</v>
      </c>
      <c r="E306" s="36">
        <v>17.810500000000001</v>
      </c>
    </row>
    <row r="307" spans="1:5" x14ac:dyDescent="0.3">
      <c r="A307" s="1">
        <v>43790</v>
      </c>
      <c r="B307" s="37">
        <v>17.829799999999999</v>
      </c>
      <c r="C307" s="37">
        <v>17.829799999999999</v>
      </c>
      <c r="D307" s="37">
        <v>17.829799999999999</v>
      </c>
      <c r="E307" s="37">
        <v>17.829799999999999</v>
      </c>
    </row>
    <row r="308" spans="1:5" x14ac:dyDescent="0.3">
      <c r="A308" s="2">
        <v>43791</v>
      </c>
      <c r="B308" s="36">
        <v>17.8491</v>
      </c>
      <c r="C308" s="36">
        <v>17.8491</v>
      </c>
      <c r="D308" s="36">
        <v>17.8491</v>
      </c>
      <c r="E308" s="36">
        <v>17.8491</v>
      </c>
    </row>
    <row r="309" spans="1:5" x14ac:dyDescent="0.3">
      <c r="A309" s="1">
        <v>43792</v>
      </c>
      <c r="B309" s="37">
        <v>17.868400000000001</v>
      </c>
      <c r="C309" s="37">
        <v>17.868400000000001</v>
      </c>
      <c r="D309" s="37">
        <v>17.868400000000001</v>
      </c>
      <c r="E309" s="37">
        <v>17.868400000000001</v>
      </c>
    </row>
    <row r="310" spans="1:5" x14ac:dyDescent="0.3">
      <c r="A310" s="2">
        <v>43793</v>
      </c>
      <c r="B310" s="36">
        <v>17.887699999999999</v>
      </c>
      <c r="C310" s="36">
        <v>17.887699999999999</v>
      </c>
      <c r="D310" s="36">
        <v>17.887699999999999</v>
      </c>
      <c r="E310" s="36">
        <v>17.887699999999999</v>
      </c>
    </row>
    <row r="311" spans="1:5" x14ac:dyDescent="0.3">
      <c r="A311" s="1">
        <v>43794</v>
      </c>
      <c r="B311" s="37">
        <v>17.9071</v>
      </c>
      <c r="C311" s="37">
        <v>17.9071</v>
      </c>
      <c r="D311" s="37">
        <v>17.9071</v>
      </c>
      <c r="E311" s="37">
        <v>17.9071</v>
      </c>
    </row>
    <row r="312" spans="1:5" x14ac:dyDescent="0.3">
      <c r="A312" s="2">
        <v>43795</v>
      </c>
      <c r="B312" s="36">
        <v>17.926500000000001</v>
      </c>
      <c r="C312" s="36">
        <v>17.926500000000001</v>
      </c>
      <c r="D312" s="36">
        <v>17.926500000000001</v>
      </c>
      <c r="E312" s="36">
        <v>17.926500000000001</v>
      </c>
    </row>
    <row r="313" spans="1:5" x14ac:dyDescent="0.3">
      <c r="A313" s="1">
        <v>43796</v>
      </c>
      <c r="B313" s="37">
        <v>17.945900000000002</v>
      </c>
      <c r="C313" s="37">
        <v>17.945900000000002</v>
      </c>
      <c r="D313" s="37">
        <v>17.945900000000002</v>
      </c>
      <c r="E313" s="37">
        <v>17.945900000000002</v>
      </c>
    </row>
    <row r="314" spans="1:5" x14ac:dyDescent="0.3">
      <c r="A314" s="2">
        <v>43797</v>
      </c>
      <c r="B314" s="36">
        <v>17.965299999999999</v>
      </c>
      <c r="C314" s="36">
        <v>17.965299999999999</v>
      </c>
      <c r="D314" s="36">
        <v>17.965299999999999</v>
      </c>
      <c r="E314" s="36">
        <v>17.965299999999999</v>
      </c>
    </row>
    <row r="315" spans="1:5" x14ac:dyDescent="0.3">
      <c r="A315" s="1">
        <v>43798</v>
      </c>
      <c r="B315" s="37">
        <v>17.9848</v>
      </c>
      <c r="C315" s="37">
        <v>17.9848</v>
      </c>
      <c r="D315" s="37">
        <v>17.9848</v>
      </c>
      <c r="E315" s="37">
        <v>17.9848</v>
      </c>
    </row>
    <row r="316" spans="1:5" x14ac:dyDescent="0.3">
      <c r="A316" s="2">
        <v>43799</v>
      </c>
      <c r="B316" s="36">
        <v>18.004300000000001</v>
      </c>
      <c r="C316" s="36">
        <v>18.004300000000001</v>
      </c>
      <c r="D316" s="36">
        <v>18.004300000000001</v>
      </c>
      <c r="E316" s="36">
        <v>18.004300000000001</v>
      </c>
    </row>
    <row r="317" spans="1:5" x14ac:dyDescent="0.3">
      <c r="A317" s="1">
        <v>43800</v>
      </c>
      <c r="B317" s="37">
        <v>18.023800000000001</v>
      </c>
      <c r="C317" s="37">
        <v>18.023800000000001</v>
      </c>
      <c r="D317" s="37">
        <v>18.023800000000001</v>
      </c>
      <c r="E317" s="37">
        <v>18.023800000000001</v>
      </c>
    </row>
    <row r="318" spans="1:5" x14ac:dyDescent="0.3">
      <c r="A318" s="2">
        <v>43801</v>
      </c>
      <c r="B318" s="36">
        <v>18.043299999999999</v>
      </c>
      <c r="C318" s="36">
        <v>18.043299999999999</v>
      </c>
      <c r="D318" s="36">
        <v>18.043299999999999</v>
      </c>
      <c r="E318" s="36">
        <v>18.043299999999999</v>
      </c>
    </row>
    <row r="319" spans="1:5" x14ac:dyDescent="0.3">
      <c r="A319" s="1">
        <v>43802</v>
      </c>
      <c r="B319" s="37">
        <v>18.062799999999999</v>
      </c>
      <c r="C319" s="37">
        <v>18.062799999999999</v>
      </c>
      <c r="D319" s="37">
        <v>18.062799999999999</v>
      </c>
      <c r="E319" s="37">
        <v>18.062799999999999</v>
      </c>
    </row>
    <row r="320" spans="1:5" x14ac:dyDescent="0.3">
      <c r="A320" s="2">
        <v>43803</v>
      </c>
      <c r="B320" s="36">
        <v>18.0824</v>
      </c>
      <c r="C320" s="36">
        <v>18.0824</v>
      </c>
      <c r="D320" s="36">
        <v>18.0824</v>
      </c>
      <c r="E320" s="36">
        <v>18.0824</v>
      </c>
    </row>
    <row r="321" spans="1:5" x14ac:dyDescent="0.3">
      <c r="A321" s="1">
        <v>43804</v>
      </c>
      <c r="B321" s="37">
        <v>18.102</v>
      </c>
      <c r="C321" s="37">
        <v>18.102</v>
      </c>
      <c r="D321" s="37">
        <v>18.102</v>
      </c>
      <c r="E321" s="37">
        <v>18.102</v>
      </c>
    </row>
    <row r="322" spans="1:5" x14ac:dyDescent="0.3">
      <c r="A322" s="2">
        <v>43805</v>
      </c>
      <c r="B322" s="36">
        <v>18.121600000000001</v>
      </c>
      <c r="C322" s="36">
        <v>18.121600000000001</v>
      </c>
      <c r="D322" s="36">
        <v>18.121600000000001</v>
      </c>
      <c r="E322" s="36">
        <v>18.121600000000001</v>
      </c>
    </row>
    <row r="323" spans="1:5" x14ac:dyDescent="0.3">
      <c r="A323" s="1">
        <v>43806</v>
      </c>
      <c r="B323" s="37">
        <v>18.141200000000001</v>
      </c>
      <c r="C323" s="37">
        <v>18.141200000000001</v>
      </c>
      <c r="D323" s="37">
        <v>18.141200000000001</v>
      </c>
      <c r="E323" s="37">
        <v>18.141200000000001</v>
      </c>
    </row>
    <row r="324" spans="1:5" x14ac:dyDescent="0.3">
      <c r="A324" s="2">
        <v>43807</v>
      </c>
      <c r="B324" s="36">
        <v>18.160799999999998</v>
      </c>
      <c r="C324" s="36">
        <v>18.160799999999998</v>
      </c>
      <c r="D324" s="36">
        <v>18.160799999999998</v>
      </c>
      <c r="E324" s="36">
        <v>18.160799999999998</v>
      </c>
    </row>
    <row r="325" spans="1:5" x14ac:dyDescent="0.3">
      <c r="A325" s="1">
        <v>43808</v>
      </c>
      <c r="B325" s="37">
        <v>18.180499999999999</v>
      </c>
      <c r="C325" s="37">
        <v>18.180499999999999</v>
      </c>
      <c r="D325" s="37">
        <v>18.180499999999999</v>
      </c>
      <c r="E325" s="37">
        <v>18.180499999999999</v>
      </c>
    </row>
    <row r="326" spans="1:5" x14ac:dyDescent="0.3">
      <c r="A326" s="2">
        <v>43809</v>
      </c>
      <c r="B326" s="36">
        <v>18.200199999999999</v>
      </c>
      <c r="C326" s="36">
        <v>18.200199999999999</v>
      </c>
      <c r="D326" s="36">
        <v>18.200199999999999</v>
      </c>
      <c r="E326" s="36">
        <v>18.200199999999999</v>
      </c>
    </row>
    <row r="327" spans="1:5" x14ac:dyDescent="0.3">
      <c r="A327" s="1">
        <v>43810</v>
      </c>
      <c r="B327" s="37">
        <v>18.219899999999999</v>
      </c>
      <c r="C327" s="37">
        <v>18.219899999999999</v>
      </c>
      <c r="D327" s="37">
        <v>18.219899999999999</v>
      </c>
      <c r="E327" s="37">
        <v>18.219899999999999</v>
      </c>
    </row>
    <row r="328" spans="1:5" x14ac:dyDescent="0.3">
      <c r="A328" s="2">
        <v>43811</v>
      </c>
      <c r="B328" s="36">
        <v>18.239599999999999</v>
      </c>
      <c r="C328" s="36">
        <v>18.239599999999999</v>
      </c>
      <c r="D328" s="36">
        <v>18.239599999999999</v>
      </c>
      <c r="E328" s="36">
        <v>18.239599999999999</v>
      </c>
    </row>
    <row r="329" spans="1:5" x14ac:dyDescent="0.3">
      <c r="A329" s="1">
        <v>43812</v>
      </c>
      <c r="B329" s="37">
        <v>18.259399999999999</v>
      </c>
      <c r="C329" s="37">
        <v>18.259399999999999</v>
      </c>
      <c r="D329" s="37">
        <v>18.259399999999999</v>
      </c>
      <c r="E329" s="37">
        <v>18.259399999999999</v>
      </c>
    </row>
    <row r="330" spans="1:5" x14ac:dyDescent="0.3">
      <c r="A330" s="2">
        <v>43813</v>
      </c>
      <c r="B330" s="36">
        <v>18.2791</v>
      </c>
      <c r="C330" s="36">
        <v>18.2791</v>
      </c>
      <c r="D330" s="36">
        <v>18.2791</v>
      </c>
      <c r="E330" s="36">
        <v>18.2791</v>
      </c>
    </row>
    <row r="331" spans="1:5" x14ac:dyDescent="0.3">
      <c r="A331" s="1">
        <v>43814</v>
      </c>
      <c r="B331" s="37">
        <v>18.2989</v>
      </c>
      <c r="C331" s="37">
        <v>18.2989</v>
      </c>
      <c r="D331" s="37">
        <v>18.2989</v>
      </c>
      <c r="E331" s="37">
        <v>18.2989</v>
      </c>
    </row>
    <row r="332" spans="1:5" x14ac:dyDescent="0.3">
      <c r="A332" s="2">
        <v>43815</v>
      </c>
      <c r="B332" s="36">
        <v>18.323799999999999</v>
      </c>
      <c r="C332" s="36">
        <v>18.323799999999999</v>
      </c>
      <c r="D332" s="36">
        <v>18.323799999999999</v>
      </c>
      <c r="E332" s="36">
        <v>18.323799999999999</v>
      </c>
    </row>
    <row r="333" spans="1:5" x14ac:dyDescent="0.3">
      <c r="A333" s="1">
        <v>43816</v>
      </c>
      <c r="B333" s="37">
        <v>18.348700000000001</v>
      </c>
      <c r="C333" s="37">
        <v>18.348700000000001</v>
      </c>
      <c r="D333" s="37">
        <v>18.348700000000001</v>
      </c>
      <c r="E333" s="37">
        <v>18.348700000000001</v>
      </c>
    </row>
    <row r="334" spans="1:5" x14ac:dyDescent="0.3">
      <c r="A334" s="2">
        <v>43817</v>
      </c>
      <c r="B334" s="36">
        <v>18.3736</v>
      </c>
      <c r="C334" s="36">
        <v>18.3736</v>
      </c>
      <c r="D334" s="36">
        <v>18.3736</v>
      </c>
      <c r="E334" s="36">
        <v>18.3736</v>
      </c>
    </row>
    <row r="335" spans="1:5" x14ac:dyDescent="0.3">
      <c r="A335" s="1">
        <v>43818</v>
      </c>
      <c r="B335" s="37">
        <v>18.398599999999998</v>
      </c>
      <c r="C335" s="37">
        <v>18.398599999999998</v>
      </c>
      <c r="D335" s="37">
        <v>18.398599999999998</v>
      </c>
      <c r="E335" s="37">
        <v>18.398599999999998</v>
      </c>
    </row>
    <row r="336" spans="1:5" x14ac:dyDescent="0.3">
      <c r="A336" s="2">
        <v>43819</v>
      </c>
      <c r="B336" s="36">
        <v>18.4236</v>
      </c>
      <c r="C336" s="36">
        <v>18.4236</v>
      </c>
      <c r="D336" s="36">
        <v>18.4236</v>
      </c>
      <c r="E336" s="36">
        <v>18.4236</v>
      </c>
    </row>
    <row r="337" spans="1:5" x14ac:dyDescent="0.3">
      <c r="A337" s="1">
        <v>43820</v>
      </c>
      <c r="B337" s="37">
        <v>18.448699999999999</v>
      </c>
      <c r="C337" s="37">
        <v>18.448699999999999</v>
      </c>
      <c r="D337" s="37">
        <v>18.448699999999999</v>
      </c>
      <c r="E337" s="37">
        <v>18.448699999999999</v>
      </c>
    </row>
    <row r="338" spans="1:5" x14ac:dyDescent="0.3">
      <c r="A338" s="2">
        <v>43821</v>
      </c>
      <c r="B338" s="36">
        <v>18.473700000000001</v>
      </c>
      <c r="C338" s="36">
        <v>18.473700000000001</v>
      </c>
      <c r="D338" s="36">
        <v>18.473700000000001</v>
      </c>
      <c r="E338" s="36">
        <v>18.473700000000001</v>
      </c>
    </row>
    <row r="339" spans="1:5" x14ac:dyDescent="0.3">
      <c r="A339" s="1">
        <v>43822</v>
      </c>
      <c r="B339" s="37">
        <v>18.498799999999999</v>
      </c>
      <c r="C339" s="37">
        <v>18.498799999999999</v>
      </c>
      <c r="D339" s="37">
        <v>18.498799999999999</v>
      </c>
      <c r="E339" s="37">
        <v>18.498799999999999</v>
      </c>
    </row>
    <row r="340" spans="1:5" x14ac:dyDescent="0.3">
      <c r="A340" s="2">
        <v>43823</v>
      </c>
      <c r="B340" s="36">
        <v>18.524000000000001</v>
      </c>
      <c r="C340" s="36">
        <v>18.524000000000001</v>
      </c>
      <c r="D340" s="36">
        <v>18.524000000000001</v>
      </c>
      <c r="E340" s="36">
        <v>18.524000000000001</v>
      </c>
    </row>
    <row r="341" spans="1:5" x14ac:dyDescent="0.3">
      <c r="A341" s="1">
        <v>43824</v>
      </c>
      <c r="B341" s="37">
        <v>18.549099999999999</v>
      </c>
      <c r="C341" s="37">
        <v>18.549099999999999</v>
      </c>
      <c r="D341" s="37">
        <v>18.549099999999999</v>
      </c>
      <c r="E341" s="37">
        <v>18.549099999999999</v>
      </c>
    </row>
    <row r="342" spans="1:5" x14ac:dyDescent="0.3">
      <c r="A342" s="2">
        <v>43825</v>
      </c>
      <c r="B342" s="36">
        <v>18.574400000000001</v>
      </c>
      <c r="C342" s="36">
        <v>18.574400000000001</v>
      </c>
      <c r="D342" s="36">
        <v>18.574400000000001</v>
      </c>
      <c r="E342" s="36">
        <v>18.574400000000001</v>
      </c>
    </row>
    <row r="343" spans="1:5" x14ac:dyDescent="0.3">
      <c r="A343" s="1">
        <v>43826</v>
      </c>
      <c r="B343" s="37">
        <v>18.599599999999999</v>
      </c>
      <c r="C343" s="37">
        <v>18.599599999999999</v>
      </c>
      <c r="D343" s="37">
        <v>18.599599999999999</v>
      </c>
      <c r="E343" s="37">
        <v>18.599599999999999</v>
      </c>
    </row>
    <row r="344" spans="1:5" x14ac:dyDescent="0.3">
      <c r="A344" s="2">
        <v>43827</v>
      </c>
      <c r="B344" s="36">
        <v>18.6249</v>
      </c>
      <c r="C344" s="36">
        <v>18.6249</v>
      </c>
      <c r="D344" s="36">
        <v>18.6249</v>
      </c>
      <c r="E344" s="36">
        <v>18.6249</v>
      </c>
    </row>
    <row r="345" spans="1:5" x14ac:dyDescent="0.3">
      <c r="A345" s="1">
        <v>43828</v>
      </c>
      <c r="B345" s="37">
        <v>18.650200000000002</v>
      </c>
      <c r="C345" s="37">
        <v>18.650200000000002</v>
      </c>
      <c r="D345" s="37">
        <v>18.650200000000002</v>
      </c>
      <c r="E345" s="37">
        <v>18.650200000000002</v>
      </c>
    </row>
    <row r="346" spans="1:5" x14ac:dyDescent="0.3">
      <c r="A346" s="2">
        <v>43829</v>
      </c>
      <c r="B346" s="36">
        <v>18.6755</v>
      </c>
      <c r="C346" s="36">
        <v>18.6755</v>
      </c>
      <c r="D346" s="36">
        <v>18.6755</v>
      </c>
      <c r="E346" s="36">
        <v>18.6755</v>
      </c>
    </row>
    <row r="347" spans="1:5" x14ac:dyDescent="0.3">
      <c r="A347" s="1">
        <v>43830</v>
      </c>
      <c r="B347" s="37">
        <v>18.700900000000001</v>
      </c>
      <c r="C347" s="37">
        <v>18.700900000000001</v>
      </c>
      <c r="D347" s="37">
        <v>18.700900000000001</v>
      </c>
      <c r="E347" s="37">
        <v>18.700900000000001</v>
      </c>
    </row>
    <row r="348" spans="1:5" x14ac:dyDescent="0.3">
      <c r="A348" s="2">
        <v>43831</v>
      </c>
      <c r="B348" s="36">
        <v>18.726299999999998</v>
      </c>
      <c r="C348" s="36">
        <v>18.726299999999998</v>
      </c>
      <c r="D348" s="36">
        <v>18.726299999999998</v>
      </c>
      <c r="E348" s="36">
        <v>18.726299999999998</v>
      </c>
    </row>
    <row r="349" spans="1:5" x14ac:dyDescent="0.3">
      <c r="A349" s="1">
        <v>43832</v>
      </c>
      <c r="B349" s="37">
        <v>18.751799999999999</v>
      </c>
      <c r="C349" s="37">
        <v>18.751799999999999</v>
      </c>
      <c r="D349" s="37">
        <v>18.751799999999999</v>
      </c>
      <c r="E349" s="37">
        <v>18.751799999999999</v>
      </c>
    </row>
    <row r="350" spans="1:5" x14ac:dyDescent="0.3">
      <c r="A350" s="2">
        <v>43833</v>
      </c>
      <c r="B350" s="36">
        <v>18.7773</v>
      </c>
      <c r="C350" s="36">
        <v>18.7773</v>
      </c>
      <c r="D350" s="36">
        <v>18.7773</v>
      </c>
      <c r="E350" s="36">
        <v>18.7773</v>
      </c>
    </row>
    <row r="351" spans="1:5" x14ac:dyDescent="0.3">
      <c r="A351" s="1">
        <v>43834</v>
      </c>
      <c r="B351" s="37">
        <v>18.802800000000001</v>
      </c>
      <c r="C351" s="37">
        <v>18.802800000000001</v>
      </c>
      <c r="D351" s="37">
        <v>18.802800000000001</v>
      </c>
      <c r="E351" s="37">
        <v>18.802800000000001</v>
      </c>
    </row>
    <row r="352" spans="1:5" x14ac:dyDescent="0.3">
      <c r="A352" s="2">
        <v>43835</v>
      </c>
      <c r="B352" s="36">
        <v>18.828299999999999</v>
      </c>
      <c r="C352" s="36">
        <v>18.828299999999999</v>
      </c>
      <c r="D352" s="36">
        <v>18.828299999999999</v>
      </c>
      <c r="E352" s="36">
        <v>18.828299999999999</v>
      </c>
    </row>
    <row r="353" spans="1:5" x14ac:dyDescent="0.3">
      <c r="A353" s="1">
        <v>43836</v>
      </c>
      <c r="B353" s="37">
        <v>18.853899999999999</v>
      </c>
      <c r="C353" s="37">
        <v>18.853899999999999</v>
      </c>
      <c r="D353" s="37">
        <v>18.853899999999999</v>
      </c>
      <c r="E353" s="37">
        <v>18.853899999999999</v>
      </c>
    </row>
    <row r="354" spans="1:5" x14ac:dyDescent="0.3">
      <c r="A354" s="2">
        <v>43837</v>
      </c>
      <c r="B354" s="36">
        <v>18.8795</v>
      </c>
      <c r="C354" s="36">
        <v>18.8795</v>
      </c>
      <c r="D354" s="36">
        <v>18.8795</v>
      </c>
      <c r="E354" s="36">
        <v>18.8795</v>
      </c>
    </row>
    <row r="355" spans="1:5" x14ac:dyDescent="0.3">
      <c r="A355" s="1">
        <v>43838</v>
      </c>
      <c r="B355" s="37">
        <v>18.905200000000001</v>
      </c>
      <c r="C355" s="37">
        <v>18.905200000000001</v>
      </c>
      <c r="D355" s="37">
        <v>18.905200000000001</v>
      </c>
      <c r="E355" s="37">
        <v>18.905200000000001</v>
      </c>
    </row>
    <row r="356" spans="1:5" x14ac:dyDescent="0.3">
      <c r="A356" s="2">
        <v>43839</v>
      </c>
      <c r="B356" s="36">
        <v>18.930900000000001</v>
      </c>
      <c r="C356" s="36">
        <v>18.930900000000001</v>
      </c>
      <c r="D356" s="36">
        <v>18.930900000000001</v>
      </c>
      <c r="E356" s="36">
        <v>18.930900000000001</v>
      </c>
    </row>
    <row r="357" spans="1:5" x14ac:dyDescent="0.3">
      <c r="A357" s="1">
        <v>43840</v>
      </c>
      <c r="B357" s="37">
        <v>18.956600000000002</v>
      </c>
      <c r="C357" s="37">
        <v>18.956600000000002</v>
      </c>
      <c r="D357" s="37">
        <v>18.956600000000002</v>
      </c>
      <c r="E357" s="37">
        <v>18.956600000000002</v>
      </c>
    </row>
    <row r="358" spans="1:5" x14ac:dyDescent="0.3">
      <c r="A358" s="2">
        <v>43841</v>
      </c>
      <c r="B358" s="36">
        <v>18.982399999999998</v>
      </c>
      <c r="C358" s="36">
        <v>18.982399999999998</v>
      </c>
      <c r="D358" s="36">
        <v>18.982399999999998</v>
      </c>
      <c r="E358" s="36">
        <v>18.982399999999998</v>
      </c>
    </row>
    <row r="359" spans="1:5" x14ac:dyDescent="0.3">
      <c r="A359" s="1">
        <v>43842</v>
      </c>
      <c r="B359" s="37">
        <v>19.008199999999999</v>
      </c>
      <c r="C359" s="37">
        <v>19.008199999999999</v>
      </c>
      <c r="D359" s="37">
        <v>19.008199999999999</v>
      </c>
      <c r="E359" s="37">
        <v>19.008199999999999</v>
      </c>
    </row>
    <row r="360" spans="1:5" x14ac:dyDescent="0.3">
      <c r="A360" s="2">
        <v>43843</v>
      </c>
      <c r="B360" s="36">
        <v>19.033999999999999</v>
      </c>
      <c r="C360" s="36">
        <v>19.033999999999999</v>
      </c>
      <c r="D360" s="36">
        <v>19.033999999999999</v>
      </c>
      <c r="E360" s="36">
        <v>19.033999999999999</v>
      </c>
    </row>
    <row r="361" spans="1:5" x14ac:dyDescent="0.3">
      <c r="A361" s="1">
        <v>43844</v>
      </c>
      <c r="B361" s="37">
        <v>19.059899999999999</v>
      </c>
      <c r="C361" s="37">
        <v>19.059899999999999</v>
      </c>
      <c r="D361" s="37">
        <v>19.059899999999999</v>
      </c>
      <c r="E361" s="37">
        <v>19.059899999999999</v>
      </c>
    </row>
    <row r="362" spans="1:5" x14ac:dyDescent="0.3">
      <c r="A362" s="2">
        <v>43845</v>
      </c>
      <c r="B362" s="36">
        <v>19.085799999999999</v>
      </c>
      <c r="C362" s="36">
        <v>19.085799999999999</v>
      </c>
      <c r="D362" s="36">
        <v>19.085799999999999</v>
      </c>
      <c r="E362" s="36">
        <v>19.085799999999999</v>
      </c>
    </row>
    <row r="363" spans="1:5" x14ac:dyDescent="0.3">
      <c r="A363" s="1">
        <v>43846</v>
      </c>
      <c r="B363" s="37">
        <v>19.1082</v>
      </c>
      <c r="C363" s="37">
        <v>19.1082</v>
      </c>
      <c r="D363" s="37">
        <v>19.1082</v>
      </c>
      <c r="E363" s="37">
        <v>19.1082</v>
      </c>
    </row>
    <row r="364" spans="1:5" x14ac:dyDescent="0.3">
      <c r="A364" s="2">
        <v>43847</v>
      </c>
      <c r="B364" s="36">
        <v>19.130600000000001</v>
      </c>
      <c r="C364" s="36">
        <v>19.130600000000001</v>
      </c>
      <c r="D364" s="36">
        <v>19.130600000000001</v>
      </c>
      <c r="E364" s="36">
        <v>19.130600000000001</v>
      </c>
    </row>
    <row r="365" spans="1:5" x14ac:dyDescent="0.3">
      <c r="A365" s="1">
        <v>43848</v>
      </c>
      <c r="B365" s="37">
        <v>19.152999999999999</v>
      </c>
      <c r="C365" s="37">
        <v>19.152999999999999</v>
      </c>
      <c r="D365" s="37">
        <v>19.152999999999999</v>
      </c>
      <c r="E365" s="37">
        <v>19.152999999999999</v>
      </c>
    </row>
    <row r="366" spans="1:5" x14ac:dyDescent="0.3">
      <c r="A366" s="2">
        <v>43849</v>
      </c>
      <c r="B366" s="36">
        <v>19.1755</v>
      </c>
      <c r="C366" s="36">
        <v>19.1755</v>
      </c>
      <c r="D366" s="36">
        <v>19.1755</v>
      </c>
      <c r="E366" s="36">
        <v>19.1755</v>
      </c>
    </row>
    <row r="367" spans="1:5" x14ac:dyDescent="0.3">
      <c r="A367" s="1">
        <v>43850</v>
      </c>
      <c r="B367" s="37">
        <v>19.198</v>
      </c>
      <c r="C367" s="37">
        <v>19.198</v>
      </c>
      <c r="D367" s="37">
        <v>19.198</v>
      </c>
      <c r="E367" s="37">
        <v>19.198</v>
      </c>
    </row>
    <row r="368" spans="1:5" x14ac:dyDescent="0.3">
      <c r="A368" s="2">
        <v>43851</v>
      </c>
      <c r="B368" s="36">
        <v>19.220500000000001</v>
      </c>
      <c r="C368" s="36">
        <v>19.220500000000001</v>
      </c>
      <c r="D368" s="36">
        <v>19.220500000000001</v>
      </c>
      <c r="E368" s="36">
        <v>19.220500000000001</v>
      </c>
    </row>
    <row r="369" spans="1:5" x14ac:dyDescent="0.3">
      <c r="A369" s="1">
        <v>43852</v>
      </c>
      <c r="B369" s="37">
        <v>19.242999999999999</v>
      </c>
      <c r="C369" s="37">
        <v>19.242999999999999</v>
      </c>
      <c r="D369" s="37">
        <v>19.242999999999999</v>
      </c>
      <c r="E369" s="37">
        <v>19.242999999999999</v>
      </c>
    </row>
    <row r="370" spans="1:5" x14ac:dyDescent="0.3">
      <c r="A370" s="2">
        <v>43853</v>
      </c>
      <c r="B370" s="36">
        <v>19.265599999999999</v>
      </c>
      <c r="C370" s="36">
        <v>19.265599999999999</v>
      </c>
      <c r="D370" s="36">
        <v>19.265599999999999</v>
      </c>
      <c r="E370" s="36">
        <v>19.265599999999999</v>
      </c>
    </row>
    <row r="371" spans="1:5" x14ac:dyDescent="0.3">
      <c r="A371" s="1">
        <v>43854</v>
      </c>
      <c r="B371" s="37">
        <v>19.2882</v>
      </c>
      <c r="C371" s="37">
        <v>19.2882</v>
      </c>
      <c r="D371" s="37">
        <v>19.2882</v>
      </c>
      <c r="E371" s="37">
        <v>19.2882</v>
      </c>
    </row>
    <row r="372" spans="1:5" x14ac:dyDescent="0.3">
      <c r="A372" s="2">
        <v>43855</v>
      </c>
      <c r="B372" s="36">
        <v>19.3108</v>
      </c>
      <c r="C372" s="36">
        <v>19.3108</v>
      </c>
      <c r="D372" s="36">
        <v>19.3108</v>
      </c>
      <c r="E372" s="36">
        <v>19.3108</v>
      </c>
    </row>
    <row r="373" spans="1:5" x14ac:dyDescent="0.3">
      <c r="A373" s="1">
        <v>43856</v>
      </c>
      <c r="B373" s="37">
        <v>19.333400000000001</v>
      </c>
      <c r="C373" s="37">
        <v>19.333400000000001</v>
      </c>
      <c r="D373" s="37">
        <v>19.333400000000001</v>
      </c>
      <c r="E373" s="37">
        <v>19.333400000000001</v>
      </c>
    </row>
    <row r="374" spans="1:5" x14ac:dyDescent="0.3">
      <c r="A374" s="2">
        <v>43857</v>
      </c>
      <c r="B374" s="36">
        <v>19.356100000000001</v>
      </c>
      <c r="C374" s="36">
        <v>19.356100000000001</v>
      </c>
      <c r="D374" s="36">
        <v>19.356100000000001</v>
      </c>
      <c r="E374" s="36">
        <v>19.356100000000001</v>
      </c>
    </row>
    <row r="375" spans="1:5" x14ac:dyDescent="0.3">
      <c r="A375" s="1">
        <v>43858</v>
      </c>
      <c r="B375" s="37">
        <v>19.378799999999998</v>
      </c>
      <c r="C375" s="37">
        <v>19.378799999999998</v>
      </c>
      <c r="D375" s="37">
        <v>19.378799999999998</v>
      </c>
      <c r="E375" s="37">
        <v>19.378799999999998</v>
      </c>
    </row>
    <row r="376" spans="1:5" x14ac:dyDescent="0.3">
      <c r="A376" s="2">
        <v>43859</v>
      </c>
      <c r="B376" s="36">
        <v>19.401499999999999</v>
      </c>
      <c r="C376" s="36">
        <v>19.401499999999999</v>
      </c>
      <c r="D376" s="36">
        <v>19.401499999999999</v>
      </c>
      <c r="E376" s="36">
        <v>19.401499999999999</v>
      </c>
    </row>
    <row r="377" spans="1:5" x14ac:dyDescent="0.3">
      <c r="A377" s="1">
        <v>43860</v>
      </c>
      <c r="B377" s="37">
        <v>19.424299999999999</v>
      </c>
      <c r="C377" s="37">
        <v>19.424299999999999</v>
      </c>
      <c r="D377" s="37">
        <v>19.424299999999999</v>
      </c>
      <c r="E377" s="37">
        <v>19.424299999999999</v>
      </c>
    </row>
    <row r="378" spans="1:5" x14ac:dyDescent="0.3">
      <c r="A378" s="2">
        <v>43861</v>
      </c>
      <c r="B378" s="36">
        <v>19.447099999999999</v>
      </c>
      <c r="C378" s="36">
        <v>19.447099999999999</v>
      </c>
      <c r="D378" s="36">
        <v>19.447099999999999</v>
      </c>
      <c r="E378" s="36">
        <v>19.447099999999999</v>
      </c>
    </row>
    <row r="379" spans="1:5" x14ac:dyDescent="0.3">
      <c r="A379" s="1">
        <v>43862</v>
      </c>
      <c r="B379" s="37">
        <v>19.469899999999999</v>
      </c>
      <c r="C379" s="37">
        <v>19.469899999999999</v>
      </c>
      <c r="D379" s="37">
        <v>19.469899999999999</v>
      </c>
      <c r="E379" s="37">
        <v>19.469899999999999</v>
      </c>
    </row>
    <row r="380" spans="1:5" x14ac:dyDescent="0.3">
      <c r="A380" s="2">
        <v>43863</v>
      </c>
      <c r="B380" s="36">
        <v>19.492699999999999</v>
      </c>
      <c r="C380" s="36">
        <v>19.492699999999999</v>
      </c>
      <c r="D380" s="36">
        <v>19.492699999999999</v>
      </c>
      <c r="E380" s="36">
        <v>19.492699999999999</v>
      </c>
    </row>
    <row r="381" spans="1:5" x14ac:dyDescent="0.3">
      <c r="A381" s="1">
        <v>43864</v>
      </c>
      <c r="B381" s="37">
        <v>19.515599999999999</v>
      </c>
      <c r="C381" s="37">
        <v>19.515599999999999</v>
      </c>
      <c r="D381" s="37">
        <v>19.515599999999999</v>
      </c>
      <c r="E381" s="37">
        <v>19.515599999999999</v>
      </c>
    </row>
    <row r="382" spans="1:5" x14ac:dyDescent="0.3">
      <c r="A382" s="2">
        <v>43865</v>
      </c>
      <c r="B382" s="36">
        <v>19.538399999999999</v>
      </c>
      <c r="C382" s="36">
        <v>19.538399999999999</v>
      </c>
      <c r="D382" s="36">
        <v>19.538399999999999</v>
      </c>
      <c r="E382" s="36">
        <v>19.538399999999999</v>
      </c>
    </row>
    <row r="383" spans="1:5" x14ac:dyDescent="0.3">
      <c r="A383" s="1">
        <v>43866</v>
      </c>
      <c r="B383" s="37">
        <v>19.561399999999999</v>
      </c>
      <c r="C383" s="37">
        <v>19.561399999999999</v>
      </c>
      <c r="D383" s="37">
        <v>19.561399999999999</v>
      </c>
      <c r="E383" s="37">
        <v>19.561399999999999</v>
      </c>
    </row>
    <row r="384" spans="1:5" x14ac:dyDescent="0.3">
      <c r="A384" s="2">
        <v>43867</v>
      </c>
      <c r="B384" s="36">
        <v>19.584299999999999</v>
      </c>
      <c r="C384" s="36">
        <v>19.584299999999999</v>
      </c>
      <c r="D384" s="36">
        <v>19.584299999999999</v>
      </c>
      <c r="E384" s="36">
        <v>19.584299999999999</v>
      </c>
    </row>
    <row r="385" spans="1:5" x14ac:dyDescent="0.3">
      <c r="A385" s="1">
        <v>43868</v>
      </c>
      <c r="B385" s="37">
        <v>19.607299999999999</v>
      </c>
      <c r="C385" s="37">
        <v>19.607299999999999</v>
      </c>
      <c r="D385" s="37">
        <v>19.607299999999999</v>
      </c>
      <c r="E385" s="37">
        <v>19.607299999999999</v>
      </c>
    </row>
    <row r="386" spans="1:5" x14ac:dyDescent="0.3">
      <c r="A386" s="2">
        <v>43869</v>
      </c>
      <c r="B386" s="36">
        <v>19.630299999999998</v>
      </c>
      <c r="C386" s="36">
        <v>19.630299999999998</v>
      </c>
      <c r="D386" s="36">
        <v>19.630299999999998</v>
      </c>
      <c r="E386" s="36">
        <v>19.630299999999998</v>
      </c>
    </row>
    <row r="387" spans="1:5" x14ac:dyDescent="0.3">
      <c r="A387" s="1">
        <v>43870</v>
      </c>
      <c r="B387" s="37">
        <v>19.653300000000002</v>
      </c>
      <c r="C387" s="37">
        <v>19.653300000000002</v>
      </c>
      <c r="D387" s="37">
        <v>19.653300000000002</v>
      </c>
      <c r="E387" s="37">
        <v>19.653300000000002</v>
      </c>
    </row>
    <row r="388" spans="1:5" x14ac:dyDescent="0.3">
      <c r="A388" s="2">
        <v>43871</v>
      </c>
      <c r="B388" s="36">
        <v>19.676300000000001</v>
      </c>
      <c r="C388" s="36">
        <v>19.676300000000001</v>
      </c>
      <c r="D388" s="36">
        <v>19.676300000000001</v>
      </c>
      <c r="E388" s="36">
        <v>19.676300000000001</v>
      </c>
    </row>
    <row r="389" spans="1:5" x14ac:dyDescent="0.3">
      <c r="A389" s="1">
        <v>43872</v>
      </c>
      <c r="B389" s="37">
        <v>19.699400000000001</v>
      </c>
      <c r="C389" s="37">
        <v>19.699400000000001</v>
      </c>
      <c r="D389" s="37">
        <v>19.699400000000001</v>
      </c>
      <c r="E389" s="37">
        <v>19.699400000000001</v>
      </c>
    </row>
    <row r="390" spans="1:5" x14ac:dyDescent="0.3">
      <c r="A390" s="2">
        <v>43873</v>
      </c>
      <c r="B390" s="36">
        <v>19.7225</v>
      </c>
      <c r="C390" s="36">
        <v>19.7225</v>
      </c>
      <c r="D390" s="36">
        <v>19.7225</v>
      </c>
      <c r="E390" s="36">
        <v>19.7225</v>
      </c>
    </row>
    <row r="391" spans="1:5" x14ac:dyDescent="0.3">
      <c r="A391" s="1">
        <v>43874</v>
      </c>
      <c r="B391" s="37">
        <v>19.7456</v>
      </c>
      <c r="C391" s="37">
        <v>19.7456</v>
      </c>
      <c r="D391" s="37">
        <v>19.7456</v>
      </c>
      <c r="E391" s="37">
        <v>19.7456</v>
      </c>
    </row>
    <row r="392" spans="1:5" x14ac:dyDescent="0.3">
      <c r="A392" s="2">
        <v>43875</v>
      </c>
      <c r="B392" s="36">
        <v>19.768799999999999</v>
      </c>
      <c r="C392" s="36">
        <v>19.768799999999999</v>
      </c>
      <c r="D392" s="36">
        <v>19.768799999999999</v>
      </c>
      <c r="E392" s="36">
        <v>19.768799999999999</v>
      </c>
    </row>
    <row r="393" spans="1:5" x14ac:dyDescent="0.3">
      <c r="A393" s="1">
        <v>43876</v>
      </c>
      <c r="B393" s="37">
        <v>19.792000000000002</v>
      </c>
      <c r="C393" s="37">
        <v>19.792000000000002</v>
      </c>
      <c r="D393" s="37">
        <v>19.792000000000002</v>
      </c>
      <c r="E393" s="37">
        <v>19.792000000000002</v>
      </c>
    </row>
    <row r="394" spans="1:5" x14ac:dyDescent="0.3">
      <c r="A394" s="2">
        <v>43877</v>
      </c>
      <c r="B394" s="36">
        <v>19.807500000000001</v>
      </c>
      <c r="C394" s="36">
        <v>19.807500000000001</v>
      </c>
      <c r="D394" s="36">
        <v>19.807500000000001</v>
      </c>
      <c r="E394" s="36">
        <v>19.807500000000001</v>
      </c>
    </row>
    <row r="395" spans="1:5" x14ac:dyDescent="0.3">
      <c r="A395" s="1">
        <v>43878</v>
      </c>
      <c r="B395" s="37">
        <v>19.823</v>
      </c>
      <c r="C395" s="37">
        <v>19.823</v>
      </c>
      <c r="D395" s="37">
        <v>19.823</v>
      </c>
      <c r="E395" s="37">
        <v>19.823</v>
      </c>
    </row>
    <row r="396" spans="1:5" x14ac:dyDescent="0.3">
      <c r="A396" s="2">
        <v>43879</v>
      </c>
      <c r="B396" s="36">
        <v>19.8386</v>
      </c>
      <c r="C396" s="36">
        <v>19.8386</v>
      </c>
      <c r="D396" s="36">
        <v>19.8386</v>
      </c>
      <c r="E396" s="36">
        <v>19.8386</v>
      </c>
    </row>
    <row r="397" spans="1:5" x14ac:dyDescent="0.3">
      <c r="A397" s="1">
        <v>43880</v>
      </c>
      <c r="B397" s="37">
        <v>19.854099999999999</v>
      </c>
      <c r="C397" s="37">
        <v>19.854099999999999</v>
      </c>
      <c r="D397" s="37">
        <v>19.854099999999999</v>
      </c>
      <c r="E397" s="37">
        <v>19.854099999999999</v>
      </c>
    </row>
    <row r="398" spans="1:5" x14ac:dyDescent="0.3">
      <c r="A398" s="2">
        <v>43881</v>
      </c>
      <c r="B398" s="36">
        <v>19.869700000000002</v>
      </c>
      <c r="C398" s="36">
        <v>19.869700000000002</v>
      </c>
      <c r="D398" s="36">
        <v>19.869700000000002</v>
      </c>
      <c r="E398" s="36">
        <v>19.869700000000002</v>
      </c>
    </row>
    <row r="399" spans="1:5" x14ac:dyDescent="0.3">
      <c r="A399" s="1">
        <v>43882</v>
      </c>
      <c r="B399" s="37">
        <v>19.885300000000001</v>
      </c>
      <c r="C399" s="37">
        <v>19.885300000000001</v>
      </c>
      <c r="D399" s="37">
        <v>19.885300000000001</v>
      </c>
      <c r="E399" s="37">
        <v>19.885300000000001</v>
      </c>
    </row>
    <row r="400" spans="1:5" x14ac:dyDescent="0.3">
      <c r="A400" s="2">
        <v>43883</v>
      </c>
      <c r="B400" s="36">
        <v>19.9009</v>
      </c>
      <c r="C400" s="36">
        <v>19.9009</v>
      </c>
      <c r="D400" s="36">
        <v>19.9009</v>
      </c>
      <c r="E400" s="36">
        <v>19.9009</v>
      </c>
    </row>
    <row r="401" spans="1:5" x14ac:dyDescent="0.3">
      <c r="A401" s="1">
        <v>43884</v>
      </c>
      <c r="B401" s="37">
        <v>19.916499999999999</v>
      </c>
      <c r="C401" s="37">
        <v>19.916499999999999</v>
      </c>
      <c r="D401" s="37">
        <v>19.916499999999999</v>
      </c>
      <c r="E401" s="37">
        <v>19.916499999999999</v>
      </c>
    </row>
    <row r="402" spans="1:5" x14ac:dyDescent="0.3">
      <c r="A402" s="2">
        <v>43885</v>
      </c>
      <c r="B402" s="36">
        <v>19.932099999999998</v>
      </c>
      <c r="C402" s="36">
        <v>19.932099999999998</v>
      </c>
      <c r="D402" s="36">
        <v>19.932099999999998</v>
      </c>
      <c r="E402" s="36">
        <v>19.932099999999998</v>
      </c>
    </row>
    <row r="403" spans="1:5" x14ac:dyDescent="0.3">
      <c r="A403" s="1">
        <v>43886</v>
      </c>
      <c r="B403" s="37">
        <v>19.947800000000001</v>
      </c>
      <c r="C403" s="37">
        <v>19.947800000000001</v>
      </c>
      <c r="D403" s="37">
        <v>19.947800000000001</v>
      </c>
      <c r="E403" s="37">
        <v>19.947800000000001</v>
      </c>
    </row>
    <row r="404" spans="1:5" x14ac:dyDescent="0.3">
      <c r="A404" s="2">
        <v>43887</v>
      </c>
      <c r="B404" s="36">
        <v>19.9634</v>
      </c>
      <c r="C404" s="36">
        <v>19.9634</v>
      </c>
      <c r="D404" s="36">
        <v>19.9634</v>
      </c>
      <c r="E404" s="36">
        <v>19.9634</v>
      </c>
    </row>
    <row r="405" spans="1:5" x14ac:dyDescent="0.3">
      <c r="A405" s="1">
        <v>43888</v>
      </c>
      <c r="B405" s="37">
        <v>19.979099999999999</v>
      </c>
      <c r="C405" s="37">
        <v>19.979099999999999</v>
      </c>
      <c r="D405" s="37">
        <v>19.979099999999999</v>
      </c>
      <c r="E405" s="37">
        <v>19.979099999999999</v>
      </c>
    </row>
    <row r="406" spans="1:5" x14ac:dyDescent="0.3">
      <c r="A406" s="2">
        <v>43889</v>
      </c>
      <c r="B406" s="36">
        <v>19.994700000000002</v>
      </c>
      <c r="C406" s="36">
        <v>19.994700000000002</v>
      </c>
      <c r="D406" s="36">
        <v>19.994700000000002</v>
      </c>
      <c r="E406" s="36">
        <v>19.994700000000002</v>
      </c>
    </row>
    <row r="407" spans="1:5" x14ac:dyDescent="0.3">
      <c r="A407" s="1">
        <v>43890</v>
      </c>
      <c r="B407" s="37">
        <v>20.010400000000001</v>
      </c>
      <c r="C407" s="37">
        <v>20.010400000000001</v>
      </c>
      <c r="D407" s="37">
        <v>20.010400000000001</v>
      </c>
      <c r="E407" s="37">
        <v>20.010400000000001</v>
      </c>
    </row>
    <row r="408" spans="1:5" x14ac:dyDescent="0.3">
      <c r="A408" s="2">
        <v>43891</v>
      </c>
      <c r="B408" s="36">
        <v>20.0261</v>
      </c>
      <c r="C408" s="36">
        <v>20.0261</v>
      </c>
      <c r="D408" s="36">
        <v>20.0261</v>
      </c>
      <c r="E408" s="36">
        <v>20.0261</v>
      </c>
    </row>
    <row r="409" spans="1:5" x14ac:dyDescent="0.3">
      <c r="A409" s="1">
        <v>43892</v>
      </c>
      <c r="B409" s="37">
        <v>20.041799999999999</v>
      </c>
      <c r="C409" s="37">
        <v>20.041799999999999</v>
      </c>
      <c r="D409" s="37">
        <v>20.041799999999999</v>
      </c>
      <c r="E409" s="37">
        <v>20.041799999999999</v>
      </c>
    </row>
    <row r="410" spans="1:5" x14ac:dyDescent="0.3">
      <c r="A410" s="2">
        <v>43893</v>
      </c>
      <c r="B410" s="36">
        <v>20.057600000000001</v>
      </c>
      <c r="C410" s="36">
        <v>20.057600000000001</v>
      </c>
      <c r="D410" s="36">
        <v>20.057600000000001</v>
      </c>
      <c r="E410" s="36">
        <v>20.057600000000001</v>
      </c>
    </row>
    <row r="411" spans="1:5" x14ac:dyDescent="0.3">
      <c r="A411" s="1">
        <v>43894</v>
      </c>
      <c r="B411" s="37">
        <v>20.0733</v>
      </c>
      <c r="C411" s="37">
        <v>20.0733</v>
      </c>
      <c r="D411" s="37">
        <v>20.0733</v>
      </c>
      <c r="E411" s="37">
        <v>20.0733</v>
      </c>
    </row>
    <row r="412" spans="1:5" x14ac:dyDescent="0.3">
      <c r="A412" s="2">
        <v>43895</v>
      </c>
      <c r="B412" s="36">
        <v>20.088999999999999</v>
      </c>
      <c r="C412" s="36">
        <v>20.088999999999999</v>
      </c>
      <c r="D412" s="36">
        <v>20.088999999999999</v>
      </c>
      <c r="E412" s="36">
        <v>20.088999999999999</v>
      </c>
    </row>
    <row r="413" spans="1:5" x14ac:dyDescent="0.3">
      <c r="A413" s="1">
        <v>43896</v>
      </c>
      <c r="B413" s="37">
        <v>20.104800000000001</v>
      </c>
      <c r="C413" s="37">
        <v>20.104800000000001</v>
      </c>
      <c r="D413" s="37">
        <v>20.104800000000001</v>
      </c>
      <c r="E413" s="37">
        <v>20.104800000000001</v>
      </c>
    </row>
    <row r="414" spans="1:5" x14ac:dyDescent="0.3">
      <c r="A414" s="2">
        <v>43897</v>
      </c>
      <c r="B414" s="36">
        <v>20.1206</v>
      </c>
      <c r="C414" s="36">
        <v>20.1206</v>
      </c>
      <c r="D414" s="36">
        <v>20.1206</v>
      </c>
      <c r="E414" s="36">
        <v>20.1206</v>
      </c>
    </row>
    <row r="415" spans="1:5" x14ac:dyDescent="0.3">
      <c r="A415" s="1">
        <v>43898</v>
      </c>
      <c r="B415" s="37">
        <v>20.136299999999999</v>
      </c>
      <c r="C415" s="37">
        <v>20.136299999999999</v>
      </c>
      <c r="D415" s="37">
        <v>20.136299999999999</v>
      </c>
      <c r="E415" s="37">
        <v>20.136299999999999</v>
      </c>
    </row>
    <row r="416" spans="1:5" x14ac:dyDescent="0.3">
      <c r="A416" s="2">
        <v>43899</v>
      </c>
      <c r="B416" s="36">
        <v>20.152100000000001</v>
      </c>
      <c r="C416" s="36">
        <v>20.152100000000001</v>
      </c>
      <c r="D416" s="36">
        <v>20.152100000000001</v>
      </c>
      <c r="E416" s="36">
        <v>20.152100000000001</v>
      </c>
    </row>
    <row r="417" spans="1:5" x14ac:dyDescent="0.3">
      <c r="A417" s="1">
        <v>43900</v>
      </c>
      <c r="B417" s="37">
        <v>20.167999999999999</v>
      </c>
      <c r="C417" s="37">
        <v>20.167999999999999</v>
      </c>
      <c r="D417" s="37">
        <v>20.167999999999999</v>
      </c>
      <c r="E417" s="37">
        <v>20.167999999999999</v>
      </c>
    </row>
    <row r="418" spans="1:5" x14ac:dyDescent="0.3">
      <c r="A418" s="2">
        <v>43901</v>
      </c>
      <c r="B418" s="36">
        <v>20.183800000000002</v>
      </c>
      <c r="C418" s="36">
        <v>20.183800000000002</v>
      </c>
      <c r="D418" s="36">
        <v>20.183800000000002</v>
      </c>
      <c r="E418" s="36">
        <v>20.183800000000002</v>
      </c>
    </row>
    <row r="419" spans="1:5" x14ac:dyDescent="0.3">
      <c r="A419" s="1">
        <v>43902</v>
      </c>
      <c r="B419" s="37">
        <v>20.1996</v>
      </c>
      <c r="C419" s="37">
        <v>20.1996</v>
      </c>
      <c r="D419" s="37">
        <v>20.1996</v>
      </c>
      <c r="E419" s="37">
        <v>20.1996</v>
      </c>
    </row>
    <row r="420" spans="1:5" x14ac:dyDescent="0.3">
      <c r="A420" s="2">
        <v>43903</v>
      </c>
      <c r="B420" s="36">
        <v>20.215399999999999</v>
      </c>
      <c r="C420" s="36">
        <v>20.215399999999999</v>
      </c>
      <c r="D420" s="36">
        <v>20.215399999999999</v>
      </c>
      <c r="E420" s="36">
        <v>20.215399999999999</v>
      </c>
    </row>
    <row r="421" spans="1:5" x14ac:dyDescent="0.3">
      <c r="A421" s="1">
        <v>43904</v>
      </c>
      <c r="B421" s="37">
        <v>20.231300000000001</v>
      </c>
      <c r="C421" s="37">
        <v>20.231300000000001</v>
      </c>
      <c r="D421" s="37">
        <v>20.231300000000001</v>
      </c>
      <c r="E421" s="37">
        <v>20.231300000000001</v>
      </c>
    </row>
    <row r="422" spans="1:5" x14ac:dyDescent="0.3">
      <c r="A422" s="2">
        <v>43905</v>
      </c>
      <c r="B422" s="36">
        <v>20.247199999999999</v>
      </c>
      <c r="C422" s="36">
        <v>20.247199999999999</v>
      </c>
      <c r="D422" s="36">
        <v>20.247199999999999</v>
      </c>
      <c r="E422" s="36">
        <v>20.247199999999999</v>
      </c>
    </row>
    <row r="423" spans="1:5" x14ac:dyDescent="0.3">
      <c r="A423" s="1">
        <v>43906</v>
      </c>
      <c r="B423" s="37">
        <v>20.260100000000001</v>
      </c>
      <c r="C423" s="37">
        <v>20.260100000000001</v>
      </c>
      <c r="D423" s="37">
        <v>20.260100000000001</v>
      </c>
      <c r="E423" s="37">
        <v>20.260100000000001</v>
      </c>
    </row>
    <row r="424" spans="1:5" x14ac:dyDescent="0.3">
      <c r="A424" s="2">
        <v>43907</v>
      </c>
      <c r="B424" s="36">
        <v>20.273099999999999</v>
      </c>
      <c r="C424" s="36">
        <v>20.273099999999999</v>
      </c>
      <c r="D424" s="36">
        <v>20.273099999999999</v>
      </c>
      <c r="E424" s="36">
        <v>20.273099999999999</v>
      </c>
    </row>
    <row r="425" spans="1:5" x14ac:dyDescent="0.3">
      <c r="A425" s="1">
        <v>43908</v>
      </c>
      <c r="B425" s="37">
        <v>20.286000000000001</v>
      </c>
      <c r="C425" s="37">
        <v>20.286000000000001</v>
      </c>
      <c r="D425" s="37">
        <v>20.286000000000001</v>
      </c>
      <c r="E425" s="37">
        <v>20.286000000000001</v>
      </c>
    </row>
    <row r="426" spans="1:5" x14ac:dyDescent="0.3">
      <c r="A426" s="2">
        <v>43909</v>
      </c>
      <c r="B426" s="36">
        <v>20.298999999999999</v>
      </c>
      <c r="C426" s="36">
        <v>20.298999999999999</v>
      </c>
      <c r="D426" s="36">
        <v>20.298999999999999</v>
      </c>
      <c r="E426" s="36">
        <v>20.298999999999999</v>
      </c>
    </row>
    <row r="427" spans="1:5" x14ac:dyDescent="0.3">
      <c r="A427" s="1">
        <v>43910</v>
      </c>
      <c r="B427" s="37">
        <v>20.311900000000001</v>
      </c>
      <c r="C427" s="37">
        <v>20.311900000000001</v>
      </c>
      <c r="D427" s="37">
        <v>20.311900000000001</v>
      </c>
      <c r="E427" s="37">
        <v>20.311900000000001</v>
      </c>
    </row>
    <row r="428" spans="1:5" x14ac:dyDescent="0.3">
      <c r="A428" s="2">
        <v>43911</v>
      </c>
      <c r="B428" s="36">
        <v>20.3249</v>
      </c>
      <c r="C428" s="36">
        <v>20.3249</v>
      </c>
      <c r="D428" s="36">
        <v>20.3249</v>
      </c>
      <c r="E428" s="36">
        <v>20.3249</v>
      </c>
    </row>
    <row r="429" spans="1:5" x14ac:dyDescent="0.3">
      <c r="A429" s="1">
        <v>43912</v>
      </c>
      <c r="B429" s="37">
        <v>20.337900000000001</v>
      </c>
      <c r="C429" s="37">
        <v>20.337900000000001</v>
      </c>
      <c r="D429" s="37">
        <v>20.337900000000001</v>
      </c>
      <c r="E429" s="37">
        <v>20.337900000000001</v>
      </c>
    </row>
    <row r="430" spans="1:5" x14ac:dyDescent="0.3">
      <c r="A430" s="2">
        <v>43913</v>
      </c>
      <c r="B430" s="36">
        <v>20.350899999999999</v>
      </c>
      <c r="C430" s="36">
        <v>20.350899999999999</v>
      </c>
      <c r="D430" s="36">
        <v>20.350899999999999</v>
      </c>
      <c r="E430" s="36">
        <v>20.350899999999999</v>
      </c>
    </row>
    <row r="431" spans="1:5" x14ac:dyDescent="0.3">
      <c r="A431" s="1">
        <v>43914</v>
      </c>
      <c r="B431" s="37">
        <v>20.363900000000001</v>
      </c>
      <c r="C431" s="37">
        <v>20.363900000000001</v>
      </c>
      <c r="D431" s="37">
        <v>20.363900000000001</v>
      </c>
      <c r="E431" s="37">
        <v>20.363900000000001</v>
      </c>
    </row>
    <row r="432" spans="1:5" x14ac:dyDescent="0.3">
      <c r="A432" s="2">
        <v>43915</v>
      </c>
      <c r="B432" s="36">
        <v>20.376899999999999</v>
      </c>
      <c r="C432" s="36">
        <v>20.376899999999999</v>
      </c>
      <c r="D432" s="36">
        <v>20.376899999999999</v>
      </c>
      <c r="E432" s="36">
        <v>20.376899999999999</v>
      </c>
    </row>
    <row r="433" spans="1:5" x14ac:dyDescent="0.3">
      <c r="A433" s="1">
        <v>43916</v>
      </c>
      <c r="B433" s="37">
        <v>20.389900000000001</v>
      </c>
      <c r="C433" s="37">
        <v>20.389900000000001</v>
      </c>
      <c r="D433" s="37">
        <v>20.389900000000001</v>
      </c>
      <c r="E433" s="37">
        <v>20.389900000000001</v>
      </c>
    </row>
    <row r="434" spans="1:5" x14ac:dyDescent="0.3">
      <c r="A434" s="2">
        <v>43917</v>
      </c>
      <c r="B434" s="36">
        <v>20.402999999999999</v>
      </c>
      <c r="C434" s="36">
        <v>20.402999999999999</v>
      </c>
      <c r="D434" s="36">
        <v>20.402999999999999</v>
      </c>
      <c r="E434" s="36">
        <v>20.402999999999999</v>
      </c>
    </row>
    <row r="435" spans="1:5" x14ac:dyDescent="0.3">
      <c r="A435" s="1">
        <v>43918</v>
      </c>
      <c r="B435" s="37">
        <v>20.416</v>
      </c>
      <c r="C435" s="37">
        <v>20.416</v>
      </c>
      <c r="D435" s="37">
        <v>20.416</v>
      </c>
      <c r="E435" s="37">
        <v>20.416</v>
      </c>
    </row>
    <row r="436" spans="1:5" x14ac:dyDescent="0.3">
      <c r="A436" s="2">
        <v>43919</v>
      </c>
      <c r="B436" s="36">
        <v>20.429099999999998</v>
      </c>
      <c r="C436" s="36">
        <v>20.429099999999998</v>
      </c>
      <c r="D436" s="36">
        <v>20.429099999999998</v>
      </c>
      <c r="E436" s="36">
        <v>20.429099999999998</v>
      </c>
    </row>
    <row r="437" spans="1:5" x14ac:dyDescent="0.3">
      <c r="A437" s="1">
        <v>43920</v>
      </c>
      <c r="B437" s="37">
        <v>20.4421</v>
      </c>
      <c r="C437" s="37">
        <v>20.4421</v>
      </c>
      <c r="D437" s="37">
        <v>20.4421</v>
      </c>
      <c r="E437" s="37">
        <v>20.4421</v>
      </c>
    </row>
    <row r="438" spans="1:5" x14ac:dyDescent="0.3">
      <c r="A438" s="2">
        <v>43921</v>
      </c>
      <c r="B438" s="36">
        <v>20.455200000000001</v>
      </c>
      <c r="C438" s="36">
        <v>20.455200000000001</v>
      </c>
      <c r="D438" s="36">
        <v>20.455200000000001</v>
      </c>
      <c r="E438" s="36">
        <v>20.455200000000001</v>
      </c>
    </row>
    <row r="439" spans="1:5" x14ac:dyDescent="0.3">
      <c r="A439" s="1">
        <v>43922</v>
      </c>
      <c r="B439" s="37">
        <v>20.4682</v>
      </c>
      <c r="C439" s="37">
        <v>20.4682</v>
      </c>
      <c r="D439" s="37">
        <v>20.4682</v>
      </c>
      <c r="E439" s="37">
        <v>20.4682</v>
      </c>
    </row>
    <row r="440" spans="1:5" x14ac:dyDescent="0.3">
      <c r="A440" s="2">
        <v>43923</v>
      </c>
      <c r="B440" s="36">
        <v>20.481300000000001</v>
      </c>
      <c r="C440" s="36">
        <v>20.481300000000001</v>
      </c>
      <c r="D440" s="36">
        <v>20.481300000000001</v>
      </c>
      <c r="E440" s="36">
        <v>20.481300000000001</v>
      </c>
    </row>
    <row r="441" spans="1:5" x14ac:dyDescent="0.3">
      <c r="A441" s="1">
        <v>43924</v>
      </c>
      <c r="B441" s="37">
        <v>20.494399999999999</v>
      </c>
      <c r="C441" s="37">
        <v>20.494399999999999</v>
      </c>
      <c r="D441" s="37">
        <v>20.494399999999999</v>
      </c>
      <c r="E441" s="37">
        <v>20.494399999999999</v>
      </c>
    </row>
    <row r="442" spans="1:5" x14ac:dyDescent="0.3">
      <c r="A442" s="2">
        <v>43925</v>
      </c>
      <c r="B442" s="36">
        <v>20.5075</v>
      </c>
      <c r="C442" s="36">
        <v>20.5075</v>
      </c>
      <c r="D442" s="36">
        <v>20.5075</v>
      </c>
      <c r="E442" s="36">
        <v>20.5075</v>
      </c>
    </row>
    <row r="443" spans="1:5" x14ac:dyDescent="0.3">
      <c r="A443" s="1">
        <v>43926</v>
      </c>
      <c r="B443" s="37">
        <v>20.520600000000002</v>
      </c>
      <c r="C443" s="37">
        <v>20.520600000000002</v>
      </c>
      <c r="D443" s="37">
        <v>20.520600000000002</v>
      </c>
      <c r="E443" s="37">
        <v>20.520600000000002</v>
      </c>
    </row>
    <row r="444" spans="1:5" x14ac:dyDescent="0.3">
      <c r="A444" s="2">
        <v>43927</v>
      </c>
      <c r="B444" s="36">
        <v>20.5337</v>
      </c>
      <c r="C444" s="36">
        <v>20.5337</v>
      </c>
      <c r="D444" s="36">
        <v>20.5337</v>
      </c>
      <c r="E444" s="36">
        <v>20.5337</v>
      </c>
    </row>
    <row r="445" spans="1:5" x14ac:dyDescent="0.3">
      <c r="A445" s="1">
        <v>43928</v>
      </c>
      <c r="B445" s="37">
        <v>20.546800000000001</v>
      </c>
      <c r="C445" s="37">
        <v>20.546800000000001</v>
      </c>
      <c r="D445" s="37">
        <v>20.546800000000001</v>
      </c>
      <c r="E445" s="37">
        <v>20.546800000000001</v>
      </c>
    </row>
    <row r="446" spans="1:5" x14ac:dyDescent="0.3">
      <c r="A446" s="2">
        <v>43929</v>
      </c>
      <c r="B446" s="36">
        <v>20.56</v>
      </c>
      <c r="C446" s="36">
        <v>20.56</v>
      </c>
      <c r="D446" s="36">
        <v>20.56</v>
      </c>
      <c r="E446" s="36">
        <v>20.56</v>
      </c>
    </row>
    <row r="447" spans="1:5" x14ac:dyDescent="0.3">
      <c r="A447" s="1">
        <v>43930</v>
      </c>
      <c r="B447" s="37">
        <v>20.5731</v>
      </c>
      <c r="C447" s="37">
        <v>20.5731</v>
      </c>
      <c r="D447" s="37">
        <v>20.5731</v>
      </c>
      <c r="E447" s="37">
        <v>20.5731</v>
      </c>
    </row>
    <row r="448" spans="1:5" x14ac:dyDescent="0.3">
      <c r="A448" s="2">
        <v>43931</v>
      </c>
      <c r="B448" s="36">
        <v>20.586300000000001</v>
      </c>
      <c r="C448" s="36">
        <v>20.586300000000001</v>
      </c>
      <c r="D448" s="36">
        <v>20.586300000000001</v>
      </c>
      <c r="E448" s="36">
        <v>20.586300000000001</v>
      </c>
    </row>
    <row r="449" spans="1:5" x14ac:dyDescent="0.3">
      <c r="A449" s="1">
        <v>43932</v>
      </c>
      <c r="B449" s="37">
        <v>20.599399999999999</v>
      </c>
      <c r="C449" s="37">
        <v>20.599399999999999</v>
      </c>
      <c r="D449" s="37">
        <v>20.599399999999999</v>
      </c>
      <c r="E449" s="37">
        <v>20.599399999999999</v>
      </c>
    </row>
    <row r="450" spans="1:5" x14ac:dyDescent="0.3">
      <c r="A450" s="2">
        <v>43933</v>
      </c>
      <c r="B450" s="36">
        <v>20.6126</v>
      </c>
      <c r="C450" s="36">
        <v>20.6126</v>
      </c>
      <c r="D450" s="36">
        <v>20.6126</v>
      </c>
      <c r="E450" s="36">
        <v>20.6126</v>
      </c>
    </row>
    <row r="451" spans="1:5" x14ac:dyDescent="0.3">
      <c r="A451" s="1">
        <v>43934</v>
      </c>
      <c r="B451" s="37">
        <v>20.625800000000002</v>
      </c>
      <c r="C451" s="37">
        <v>20.625800000000002</v>
      </c>
      <c r="D451" s="37">
        <v>20.625800000000002</v>
      </c>
      <c r="E451" s="37">
        <v>20.625800000000002</v>
      </c>
    </row>
    <row r="452" spans="1:5" x14ac:dyDescent="0.3">
      <c r="A452" s="2">
        <v>43935</v>
      </c>
      <c r="B452" s="36">
        <v>20.6389</v>
      </c>
      <c r="C452" s="36">
        <v>20.6389</v>
      </c>
      <c r="D452" s="36">
        <v>20.6389</v>
      </c>
      <c r="E452" s="36">
        <v>20.6389</v>
      </c>
    </row>
    <row r="453" spans="1:5" x14ac:dyDescent="0.3">
      <c r="A453" s="1">
        <v>43936</v>
      </c>
      <c r="B453" s="37">
        <v>20.652100000000001</v>
      </c>
      <c r="C453" s="37">
        <v>20.652100000000001</v>
      </c>
      <c r="D453" s="37">
        <v>20.652100000000001</v>
      </c>
      <c r="E453" s="37">
        <v>20.652100000000001</v>
      </c>
    </row>
    <row r="454" spans="1:5" x14ac:dyDescent="0.3">
      <c r="A454" s="2">
        <v>43937</v>
      </c>
      <c r="B454" s="36">
        <v>20.674499999999998</v>
      </c>
      <c r="C454" s="36">
        <v>20.674499999999998</v>
      </c>
      <c r="D454" s="36">
        <v>20.674499999999998</v>
      </c>
      <c r="E454" s="36">
        <v>20.674499999999998</v>
      </c>
    </row>
    <row r="455" spans="1:5" x14ac:dyDescent="0.3">
      <c r="A455" s="1">
        <v>43938</v>
      </c>
      <c r="B455" s="37">
        <v>20.696899999999999</v>
      </c>
      <c r="C455" s="37">
        <v>20.696899999999999</v>
      </c>
      <c r="D455" s="37">
        <v>20.696899999999999</v>
      </c>
      <c r="E455" s="37">
        <v>20.696899999999999</v>
      </c>
    </row>
    <row r="456" spans="1:5" x14ac:dyDescent="0.3">
      <c r="A456" s="2">
        <v>43939</v>
      </c>
      <c r="B456" s="36">
        <v>20.7193</v>
      </c>
      <c r="C456" s="36">
        <v>20.7193</v>
      </c>
      <c r="D456" s="36">
        <v>20.7193</v>
      </c>
      <c r="E456" s="36">
        <v>20.7193</v>
      </c>
    </row>
    <row r="457" spans="1:5" x14ac:dyDescent="0.3">
      <c r="A457" s="1">
        <v>43940</v>
      </c>
      <c r="B457" s="37">
        <v>20.741700000000002</v>
      </c>
      <c r="C457" s="37">
        <v>20.741700000000002</v>
      </c>
      <c r="D457" s="37">
        <v>20.741700000000002</v>
      </c>
      <c r="E457" s="37">
        <v>20.741700000000002</v>
      </c>
    </row>
    <row r="458" spans="1:5" x14ac:dyDescent="0.3">
      <c r="A458" s="2">
        <v>43941</v>
      </c>
      <c r="B458" s="36">
        <v>20.764199999999999</v>
      </c>
      <c r="C458" s="36">
        <v>20.764199999999999</v>
      </c>
      <c r="D458" s="36">
        <v>20.764199999999999</v>
      </c>
      <c r="E458" s="36">
        <v>20.764199999999999</v>
      </c>
    </row>
    <row r="459" spans="1:5" x14ac:dyDescent="0.3">
      <c r="A459" s="1">
        <v>43942</v>
      </c>
      <c r="B459" s="37">
        <v>20.7867</v>
      </c>
      <c r="C459" s="37">
        <v>20.7867</v>
      </c>
      <c r="D459" s="37">
        <v>20.7867</v>
      </c>
      <c r="E459" s="37">
        <v>20.7867</v>
      </c>
    </row>
    <row r="460" spans="1:5" x14ac:dyDescent="0.3">
      <c r="A460" s="2">
        <v>43943</v>
      </c>
      <c r="B460" s="36">
        <v>20.809200000000001</v>
      </c>
      <c r="C460" s="36">
        <v>20.809200000000001</v>
      </c>
      <c r="D460" s="36">
        <v>20.809200000000001</v>
      </c>
      <c r="E460" s="36">
        <v>20.809200000000001</v>
      </c>
    </row>
    <row r="461" spans="1:5" x14ac:dyDescent="0.3">
      <c r="A461" s="1">
        <v>43944</v>
      </c>
      <c r="B461" s="37">
        <v>20.831700000000001</v>
      </c>
      <c r="C461" s="37">
        <v>20.831700000000001</v>
      </c>
      <c r="D461" s="37">
        <v>20.831700000000001</v>
      </c>
      <c r="E461" s="37">
        <v>20.831700000000001</v>
      </c>
    </row>
    <row r="462" spans="1:5" x14ac:dyDescent="0.3">
      <c r="A462" s="2">
        <v>43945</v>
      </c>
      <c r="B462" s="36">
        <v>20.854299999999999</v>
      </c>
      <c r="C462" s="36">
        <v>20.854299999999999</v>
      </c>
      <c r="D462" s="36">
        <v>20.854299999999999</v>
      </c>
      <c r="E462" s="36">
        <v>20.854299999999999</v>
      </c>
    </row>
    <row r="463" spans="1:5" x14ac:dyDescent="0.3">
      <c r="A463" s="1">
        <v>43946</v>
      </c>
      <c r="B463" s="37">
        <v>20.876799999999999</v>
      </c>
      <c r="C463" s="37">
        <v>20.876799999999999</v>
      </c>
      <c r="D463" s="37">
        <v>20.876799999999999</v>
      </c>
      <c r="E463" s="37">
        <v>20.876799999999999</v>
      </c>
    </row>
    <row r="464" spans="1:5" x14ac:dyDescent="0.3">
      <c r="A464" s="2">
        <v>43947</v>
      </c>
      <c r="B464" s="36">
        <v>20.8994</v>
      </c>
      <c r="C464" s="36">
        <v>20.8994</v>
      </c>
      <c r="D464" s="36">
        <v>20.8994</v>
      </c>
      <c r="E464" s="36">
        <v>20.8994</v>
      </c>
    </row>
    <row r="465" spans="1:5" x14ac:dyDescent="0.3">
      <c r="A465" s="1">
        <v>43948</v>
      </c>
      <c r="B465" s="37">
        <v>20.9221</v>
      </c>
      <c r="C465" s="37">
        <v>20.9221</v>
      </c>
      <c r="D465" s="37">
        <v>20.9221</v>
      </c>
      <c r="E465" s="37">
        <v>20.9221</v>
      </c>
    </row>
    <row r="466" spans="1:5" x14ac:dyDescent="0.3">
      <c r="A466" s="2">
        <v>43949</v>
      </c>
      <c r="B466" s="36">
        <v>20.944700000000001</v>
      </c>
      <c r="C466" s="36">
        <v>20.944700000000001</v>
      </c>
      <c r="D466" s="36">
        <v>20.944700000000001</v>
      </c>
      <c r="E466" s="36">
        <v>20.944700000000001</v>
      </c>
    </row>
    <row r="467" spans="1:5" x14ac:dyDescent="0.3">
      <c r="A467" s="1">
        <v>43950</v>
      </c>
      <c r="B467" s="37">
        <v>20.967400000000001</v>
      </c>
      <c r="C467" s="37">
        <v>20.967400000000001</v>
      </c>
      <c r="D467" s="37">
        <v>20.967400000000001</v>
      </c>
      <c r="E467" s="37">
        <v>20.967400000000001</v>
      </c>
    </row>
    <row r="468" spans="1:5" x14ac:dyDescent="0.3">
      <c r="A468" s="2">
        <v>43951</v>
      </c>
      <c r="B468" s="36">
        <v>20.990100000000002</v>
      </c>
      <c r="C468" s="36">
        <v>20.990100000000002</v>
      </c>
      <c r="D468" s="36">
        <v>20.990100000000002</v>
      </c>
      <c r="E468" s="36">
        <v>20.990100000000002</v>
      </c>
    </row>
    <row r="469" spans="1:5" x14ac:dyDescent="0.3">
      <c r="A469" s="1">
        <v>43952</v>
      </c>
      <c r="B469" s="37">
        <v>21.012799999999999</v>
      </c>
      <c r="C469" s="37">
        <v>21.012799999999999</v>
      </c>
      <c r="D469" s="37">
        <v>21.012799999999999</v>
      </c>
      <c r="E469" s="37">
        <v>21.012799999999999</v>
      </c>
    </row>
    <row r="470" spans="1:5" x14ac:dyDescent="0.3">
      <c r="A470" s="2">
        <v>43953</v>
      </c>
      <c r="B470" s="36">
        <v>21.035599999999999</v>
      </c>
      <c r="C470" s="36">
        <v>21.035599999999999</v>
      </c>
      <c r="D470" s="36">
        <v>21.035599999999999</v>
      </c>
      <c r="E470" s="36">
        <v>21.035599999999999</v>
      </c>
    </row>
    <row r="471" spans="1:5" x14ac:dyDescent="0.3">
      <c r="A471" s="1">
        <v>43954</v>
      </c>
      <c r="B471" s="37">
        <v>21.058399999999999</v>
      </c>
      <c r="C471" s="37">
        <v>21.058399999999999</v>
      </c>
      <c r="D471" s="37">
        <v>21.058399999999999</v>
      </c>
      <c r="E471" s="37">
        <v>21.058399999999999</v>
      </c>
    </row>
    <row r="472" spans="1:5" x14ac:dyDescent="0.3">
      <c r="A472" s="2">
        <v>43955</v>
      </c>
      <c r="B472" s="36">
        <v>21.081199999999999</v>
      </c>
      <c r="C472" s="36">
        <v>21.081199999999999</v>
      </c>
      <c r="D472" s="36">
        <v>21.081199999999999</v>
      </c>
      <c r="E472" s="36">
        <v>21.081199999999999</v>
      </c>
    </row>
    <row r="473" spans="1:5" x14ac:dyDescent="0.3">
      <c r="A473" s="1">
        <v>43956</v>
      </c>
      <c r="B473" s="37">
        <v>21.103999999999999</v>
      </c>
      <c r="C473" s="37">
        <v>21.103999999999999</v>
      </c>
      <c r="D473" s="37">
        <v>21.103999999999999</v>
      </c>
      <c r="E473" s="37">
        <v>21.103999999999999</v>
      </c>
    </row>
    <row r="474" spans="1:5" x14ac:dyDescent="0.3">
      <c r="A474" s="2">
        <v>43957</v>
      </c>
      <c r="B474" s="36">
        <v>21.126899999999999</v>
      </c>
      <c r="C474" s="36">
        <v>21.126899999999999</v>
      </c>
      <c r="D474" s="36">
        <v>21.126899999999999</v>
      </c>
      <c r="E474" s="36">
        <v>21.126899999999999</v>
      </c>
    </row>
    <row r="475" spans="1:5" x14ac:dyDescent="0.3">
      <c r="A475" s="1">
        <v>43958</v>
      </c>
      <c r="B475" s="37">
        <v>21.149699999999999</v>
      </c>
      <c r="C475" s="37">
        <v>21.149699999999999</v>
      </c>
      <c r="D475" s="37">
        <v>21.149699999999999</v>
      </c>
      <c r="E475" s="37">
        <v>21.149699999999999</v>
      </c>
    </row>
    <row r="476" spans="1:5" x14ac:dyDescent="0.3">
      <c r="A476" s="2">
        <v>43959</v>
      </c>
      <c r="B476" s="36">
        <v>21.172599999999999</v>
      </c>
      <c r="C476" s="36">
        <v>21.172599999999999</v>
      </c>
      <c r="D476" s="36">
        <v>21.172599999999999</v>
      </c>
      <c r="E476" s="36">
        <v>21.172599999999999</v>
      </c>
    </row>
    <row r="477" spans="1:5" x14ac:dyDescent="0.3">
      <c r="A477" s="1">
        <v>43960</v>
      </c>
      <c r="B477" s="37">
        <v>21.195599999999999</v>
      </c>
      <c r="C477" s="37">
        <v>21.195599999999999</v>
      </c>
      <c r="D477" s="37">
        <v>21.195599999999999</v>
      </c>
      <c r="E477" s="37">
        <v>21.195599999999999</v>
      </c>
    </row>
    <row r="478" spans="1:5" x14ac:dyDescent="0.3">
      <c r="A478" s="2">
        <v>43961</v>
      </c>
      <c r="B478" s="36">
        <v>21.218499999999999</v>
      </c>
      <c r="C478" s="36">
        <v>21.218499999999999</v>
      </c>
      <c r="D478" s="36">
        <v>21.218499999999999</v>
      </c>
      <c r="E478" s="36">
        <v>21.218499999999999</v>
      </c>
    </row>
    <row r="479" spans="1:5" x14ac:dyDescent="0.3">
      <c r="A479" s="1">
        <v>43962</v>
      </c>
      <c r="B479" s="37">
        <v>21.241499999999998</v>
      </c>
      <c r="C479" s="37">
        <v>21.241499999999998</v>
      </c>
      <c r="D479" s="37">
        <v>21.241499999999998</v>
      </c>
      <c r="E479" s="37">
        <v>21.241499999999998</v>
      </c>
    </row>
    <row r="480" spans="1:5" x14ac:dyDescent="0.3">
      <c r="A480" s="2">
        <v>43963</v>
      </c>
      <c r="B480" s="36">
        <v>21.264500000000002</v>
      </c>
      <c r="C480" s="36">
        <v>21.264500000000002</v>
      </c>
      <c r="D480" s="36">
        <v>21.264500000000002</v>
      </c>
      <c r="E480" s="36">
        <v>21.264500000000002</v>
      </c>
    </row>
    <row r="481" spans="1:5" x14ac:dyDescent="0.3">
      <c r="A481" s="1">
        <v>43964</v>
      </c>
      <c r="B481" s="37">
        <v>21.287500000000001</v>
      </c>
      <c r="C481" s="37">
        <v>21.287500000000001</v>
      </c>
      <c r="D481" s="37">
        <v>21.287500000000001</v>
      </c>
      <c r="E481" s="37">
        <v>21.287500000000001</v>
      </c>
    </row>
    <row r="482" spans="1:5" x14ac:dyDescent="0.3">
      <c r="A482" s="2">
        <v>43965</v>
      </c>
      <c r="B482" s="36">
        <v>21.310600000000001</v>
      </c>
      <c r="C482" s="36">
        <v>21.310600000000001</v>
      </c>
      <c r="D482" s="36">
        <v>21.310600000000001</v>
      </c>
      <c r="E482" s="36">
        <v>21.310600000000001</v>
      </c>
    </row>
    <row r="483" spans="1:5" x14ac:dyDescent="0.3">
      <c r="A483" s="1">
        <v>43966</v>
      </c>
      <c r="B483" s="37">
        <v>21.333600000000001</v>
      </c>
      <c r="C483" s="37">
        <v>21.333600000000001</v>
      </c>
      <c r="D483" s="37">
        <v>21.333600000000001</v>
      </c>
      <c r="E483" s="37">
        <v>21.333600000000001</v>
      </c>
    </row>
    <row r="484" spans="1:5" x14ac:dyDescent="0.3">
      <c r="A484" s="2">
        <v>43967</v>
      </c>
      <c r="B484" s="36">
        <v>21.343900000000001</v>
      </c>
      <c r="C484" s="36">
        <v>21.343900000000001</v>
      </c>
      <c r="D484" s="36">
        <v>21.343900000000001</v>
      </c>
      <c r="E484" s="36">
        <v>21.343900000000001</v>
      </c>
    </row>
    <row r="485" spans="1:5" x14ac:dyDescent="0.3">
      <c r="A485" s="1">
        <v>43968</v>
      </c>
      <c r="B485" s="37">
        <v>21.354099999999999</v>
      </c>
      <c r="C485" s="37">
        <v>21.354099999999999</v>
      </c>
      <c r="D485" s="37">
        <v>21.354099999999999</v>
      </c>
      <c r="E485" s="37">
        <v>21.354099999999999</v>
      </c>
    </row>
    <row r="486" spans="1:5" x14ac:dyDescent="0.3">
      <c r="A486" s="2">
        <v>43969</v>
      </c>
      <c r="B486" s="36">
        <v>21.3644</v>
      </c>
      <c r="C486" s="36">
        <v>21.3644</v>
      </c>
      <c r="D486" s="36">
        <v>21.3644</v>
      </c>
      <c r="E486" s="36">
        <v>21.3644</v>
      </c>
    </row>
    <row r="487" spans="1:5" x14ac:dyDescent="0.3">
      <c r="A487" s="1">
        <v>43970</v>
      </c>
      <c r="B487" s="37">
        <v>21.374700000000001</v>
      </c>
      <c r="C487" s="37">
        <v>21.374700000000001</v>
      </c>
      <c r="D487" s="37">
        <v>21.374700000000001</v>
      </c>
      <c r="E487" s="37">
        <v>21.374700000000001</v>
      </c>
    </row>
    <row r="488" spans="1:5" x14ac:dyDescent="0.3">
      <c r="A488" s="2">
        <v>43971</v>
      </c>
      <c r="B488" s="36">
        <v>21.384899999999998</v>
      </c>
      <c r="C488" s="36">
        <v>21.384899999999998</v>
      </c>
      <c r="D488" s="36">
        <v>21.384899999999998</v>
      </c>
      <c r="E488" s="36">
        <v>21.384899999999998</v>
      </c>
    </row>
    <row r="489" spans="1:5" x14ac:dyDescent="0.3">
      <c r="A489" s="1">
        <v>43972</v>
      </c>
      <c r="B489" s="37">
        <v>21.395199999999999</v>
      </c>
      <c r="C489" s="37">
        <v>21.395199999999999</v>
      </c>
      <c r="D489" s="37">
        <v>21.395199999999999</v>
      </c>
      <c r="E489" s="37">
        <v>21.395199999999999</v>
      </c>
    </row>
    <row r="490" spans="1:5" x14ac:dyDescent="0.3">
      <c r="A490" s="2">
        <v>43973</v>
      </c>
      <c r="B490" s="36">
        <v>21.4055</v>
      </c>
      <c r="C490" s="36">
        <v>21.4055</v>
      </c>
      <c r="D490" s="36">
        <v>21.4055</v>
      </c>
      <c r="E490" s="36">
        <v>21.4055</v>
      </c>
    </row>
    <row r="491" spans="1:5" x14ac:dyDescent="0.3">
      <c r="A491" s="1">
        <v>43974</v>
      </c>
      <c r="B491" s="37">
        <v>21.415800000000001</v>
      </c>
      <c r="C491" s="37">
        <v>21.415800000000001</v>
      </c>
      <c r="D491" s="37">
        <v>21.415800000000001</v>
      </c>
      <c r="E491" s="37">
        <v>21.415800000000001</v>
      </c>
    </row>
    <row r="492" spans="1:5" x14ac:dyDescent="0.3">
      <c r="A492" s="2">
        <v>43975</v>
      </c>
      <c r="B492" s="36">
        <v>21.426100000000002</v>
      </c>
      <c r="C492" s="36">
        <v>21.426100000000002</v>
      </c>
      <c r="D492" s="36">
        <v>21.426100000000002</v>
      </c>
      <c r="E492" s="36">
        <v>21.426100000000002</v>
      </c>
    </row>
    <row r="493" spans="1:5" x14ac:dyDescent="0.3">
      <c r="A493" s="1">
        <v>43976</v>
      </c>
      <c r="B493" s="37">
        <v>21.436299999999999</v>
      </c>
      <c r="C493" s="37">
        <v>21.436299999999999</v>
      </c>
      <c r="D493" s="37">
        <v>21.436299999999999</v>
      </c>
      <c r="E493" s="37">
        <v>21.436299999999999</v>
      </c>
    </row>
    <row r="494" spans="1:5" x14ac:dyDescent="0.3">
      <c r="A494" s="2">
        <v>43977</v>
      </c>
      <c r="B494" s="36">
        <v>21.4466</v>
      </c>
      <c r="C494" s="36">
        <v>21.4466</v>
      </c>
      <c r="D494" s="36">
        <v>21.4466</v>
      </c>
      <c r="E494" s="36">
        <v>21.4466</v>
      </c>
    </row>
    <row r="495" spans="1:5" x14ac:dyDescent="0.3">
      <c r="A495" s="1">
        <v>43978</v>
      </c>
      <c r="B495" s="37">
        <v>21.456900000000001</v>
      </c>
      <c r="C495" s="37">
        <v>21.456900000000001</v>
      </c>
      <c r="D495" s="37">
        <v>21.456900000000001</v>
      </c>
      <c r="E495" s="37">
        <v>21.456900000000001</v>
      </c>
    </row>
    <row r="496" spans="1:5" x14ac:dyDescent="0.3">
      <c r="A496" s="2">
        <v>43979</v>
      </c>
      <c r="B496" s="36">
        <v>21.467300000000002</v>
      </c>
      <c r="C496" s="36">
        <v>21.467300000000002</v>
      </c>
      <c r="D496" s="36">
        <v>21.467300000000002</v>
      </c>
      <c r="E496" s="36">
        <v>21.467300000000002</v>
      </c>
    </row>
    <row r="497" spans="1:5" x14ac:dyDescent="0.3">
      <c r="A497" s="1">
        <v>43980</v>
      </c>
      <c r="B497" s="37">
        <v>21.477599999999999</v>
      </c>
      <c r="C497" s="37">
        <v>21.477599999999999</v>
      </c>
      <c r="D497" s="37">
        <v>21.477599999999999</v>
      </c>
      <c r="E497" s="37">
        <v>21.477599999999999</v>
      </c>
    </row>
    <row r="498" spans="1:5" x14ac:dyDescent="0.3">
      <c r="A498" s="2">
        <v>43981</v>
      </c>
      <c r="B498" s="36">
        <v>21.4879</v>
      </c>
      <c r="C498" s="36">
        <v>21.4879</v>
      </c>
      <c r="D498" s="36">
        <v>21.4879</v>
      </c>
      <c r="E498" s="36">
        <v>21.4879</v>
      </c>
    </row>
    <row r="499" spans="1:5" x14ac:dyDescent="0.3">
      <c r="A499" s="1">
        <v>43982</v>
      </c>
      <c r="B499" s="37">
        <v>21.498200000000001</v>
      </c>
      <c r="C499" s="37">
        <v>21.498200000000001</v>
      </c>
      <c r="D499" s="37">
        <v>21.498200000000001</v>
      </c>
      <c r="E499" s="37">
        <v>21.498200000000001</v>
      </c>
    </row>
    <row r="500" spans="1:5" x14ac:dyDescent="0.3">
      <c r="A500" s="2">
        <v>43983</v>
      </c>
      <c r="B500" s="36">
        <v>21.508500000000002</v>
      </c>
      <c r="C500" s="36">
        <v>21.508500000000002</v>
      </c>
      <c r="D500" s="36">
        <v>21.508500000000002</v>
      </c>
      <c r="E500" s="36">
        <v>21.508500000000002</v>
      </c>
    </row>
    <row r="501" spans="1:5" x14ac:dyDescent="0.3">
      <c r="A501" s="1">
        <v>43984</v>
      </c>
      <c r="B501" s="37">
        <v>21.518899999999999</v>
      </c>
      <c r="C501" s="37">
        <v>21.518899999999999</v>
      </c>
      <c r="D501" s="37">
        <v>21.518899999999999</v>
      </c>
      <c r="E501" s="37">
        <v>21.518899999999999</v>
      </c>
    </row>
    <row r="502" spans="1:5" x14ac:dyDescent="0.3">
      <c r="A502" s="2">
        <v>43985</v>
      </c>
      <c r="B502" s="36">
        <v>21.529199999999999</v>
      </c>
      <c r="C502" s="36">
        <v>21.529199999999999</v>
      </c>
      <c r="D502" s="36">
        <v>21.529199999999999</v>
      </c>
      <c r="E502" s="36">
        <v>21.529199999999999</v>
      </c>
    </row>
    <row r="503" spans="1:5" x14ac:dyDescent="0.3">
      <c r="A503" s="1">
        <v>43986</v>
      </c>
      <c r="B503" s="37">
        <v>21.5395</v>
      </c>
      <c r="C503" s="37">
        <v>21.5395</v>
      </c>
      <c r="D503" s="37">
        <v>21.5395</v>
      </c>
      <c r="E503" s="37">
        <v>21.5395</v>
      </c>
    </row>
    <row r="504" spans="1:5" x14ac:dyDescent="0.3">
      <c r="A504" s="2">
        <v>43987</v>
      </c>
      <c r="B504" s="36">
        <v>21.549900000000001</v>
      </c>
      <c r="C504" s="36">
        <v>21.549900000000001</v>
      </c>
      <c r="D504" s="36">
        <v>21.549900000000001</v>
      </c>
      <c r="E504" s="36">
        <v>21.549900000000001</v>
      </c>
    </row>
    <row r="505" spans="1:5" x14ac:dyDescent="0.3">
      <c r="A505" s="1">
        <v>43988</v>
      </c>
      <c r="B505" s="37">
        <v>21.560199999999998</v>
      </c>
      <c r="C505" s="37">
        <v>21.560199999999998</v>
      </c>
      <c r="D505" s="37">
        <v>21.560199999999998</v>
      </c>
      <c r="E505" s="37">
        <v>21.560199999999998</v>
      </c>
    </row>
    <row r="506" spans="1:5" x14ac:dyDescent="0.3">
      <c r="A506" s="2">
        <v>43989</v>
      </c>
      <c r="B506" s="36">
        <v>21.570599999999999</v>
      </c>
      <c r="C506" s="36">
        <v>21.570599999999999</v>
      </c>
      <c r="D506" s="36">
        <v>21.570599999999999</v>
      </c>
      <c r="E506" s="36">
        <v>21.570599999999999</v>
      </c>
    </row>
    <row r="507" spans="1:5" x14ac:dyDescent="0.3">
      <c r="A507" s="1">
        <v>43990</v>
      </c>
      <c r="B507" s="37">
        <v>21.581</v>
      </c>
      <c r="C507" s="37">
        <v>21.581</v>
      </c>
      <c r="D507" s="37">
        <v>21.581</v>
      </c>
      <c r="E507" s="37">
        <v>21.581</v>
      </c>
    </row>
    <row r="508" spans="1:5" x14ac:dyDescent="0.3">
      <c r="A508" s="2">
        <v>43991</v>
      </c>
      <c r="B508" s="36">
        <v>21.5913</v>
      </c>
      <c r="C508" s="36">
        <v>21.5913</v>
      </c>
      <c r="D508" s="36">
        <v>21.5913</v>
      </c>
      <c r="E508" s="36">
        <v>21.5913</v>
      </c>
    </row>
    <row r="509" spans="1:5" x14ac:dyDescent="0.3">
      <c r="A509" s="1">
        <v>43992</v>
      </c>
      <c r="B509" s="37">
        <v>21.601700000000001</v>
      </c>
      <c r="C509" s="37">
        <v>21.601700000000001</v>
      </c>
      <c r="D509" s="37">
        <v>21.601700000000001</v>
      </c>
      <c r="E509" s="37">
        <v>21.601700000000001</v>
      </c>
    </row>
    <row r="510" spans="1:5" x14ac:dyDescent="0.3">
      <c r="A510" s="2">
        <v>43993</v>
      </c>
      <c r="B510" s="36">
        <v>21.612100000000002</v>
      </c>
      <c r="C510" s="36">
        <v>21.612100000000002</v>
      </c>
      <c r="D510" s="36">
        <v>21.612100000000002</v>
      </c>
      <c r="E510" s="36">
        <v>21.612100000000002</v>
      </c>
    </row>
    <row r="511" spans="1:5" x14ac:dyDescent="0.3">
      <c r="A511" s="1">
        <v>43994</v>
      </c>
      <c r="B511" s="37">
        <v>21.622499999999999</v>
      </c>
      <c r="C511" s="37">
        <v>21.622499999999999</v>
      </c>
      <c r="D511" s="37">
        <v>21.622499999999999</v>
      </c>
      <c r="E511" s="37">
        <v>21.622499999999999</v>
      </c>
    </row>
    <row r="512" spans="1:5" x14ac:dyDescent="0.3">
      <c r="A512" s="2">
        <v>43995</v>
      </c>
      <c r="B512" s="36">
        <v>21.632899999999999</v>
      </c>
      <c r="C512" s="36">
        <v>21.632899999999999</v>
      </c>
      <c r="D512" s="36">
        <v>21.632899999999999</v>
      </c>
      <c r="E512" s="36">
        <v>21.632899999999999</v>
      </c>
    </row>
    <row r="513" spans="1:5" x14ac:dyDescent="0.3">
      <c r="A513" s="1">
        <v>43996</v>
      </c>
      <c r="B513" s="37">
        <v>21.6432</v>
      </c>
      <c r="C513" s="37">
        <v>21.6432</v>
      </c>
      <c r="D513" s="37">
        <v>21.6432</v>
      </c>
      <c r="E513" s="37">
        <v>21.6432</v>
      </c>
    </row>
    <row r="514" spans="1:5" x14ac:dyDescent="0.3">
      <c r="A514" s="2">
        <v>43997</v>
      </c>
      <c r="B514" s="36">
        <v>21.653600000000001</v>
      </c>
      <c r="C514" s="36">
        <v>21.653600000000001</v>
      </c>
      <c r="D514" s="36">
        <v>21.653600000000001</v>
      </c>
      <c r="E514" s="36">
        <v>21.653600000000001</v>
      </c>
    </row>
    <row r="515" spans="1:5" x14ac:dyDescent="0.3">
      <c r="A515" s="1">
        <v>43998</v>
      </c>
      <c r="B515" s="37">
        <v>21.664400000000001</v>
      </c>
      <c r="C515" s="37">
        <v>21.664400000000001</v>
      </c>
      <c r="D515" s="37">
        <v>21.664400000000001</v>
      </c>
      <c r="E515" s="37">
        <v>21.664400000000001</v>
      </c>
    </row>
    <row r="516" spans="1:5" x14ac:dyDescent="0.3">
      <c r="A516" s="2">
        <v>43999</v>
      </c>
      <c r="B516" s="36">
        <v>21.6751</v>
      </c>
      <c r="C516" s="36">
        <v>21.6751</v>
      </c>
      <c r="D516" s="36">
        <v>21.6751</v>
      </c>
      <c r="E516" s="36">
        <v>21.6751</v>
      </c>
    </row>
    <row r="517" spans="1:5" x14ac:dyDescent="0.3">
      <c r="A517" s="1">
        <v>44000</v>
      </c>
      <c r="B517" s="37">
        <v>21.6859</v>
      </c>
      <c r="C517" s="37">
        <v>21.6859</v>
      </c>
      <c r="D517" s="37">
        <v>21.6859</v>
      </c>
      <c r="E517" s="37">
        <v>21.6859</v>
      </c>
    </row>
    <row r="518" spans="1:5" x14ac:dyDescent="0.3">
      <c r="A518" s="2">
        <v>44001</v>
      </c>
      <c r="B518" s="36">
        <v>21.6967</v>
      </c>
      <c r="C518" s="36">
        <v>21.6967</v>
      </c>
      <c r="D518" s="36">
        <v>21.6967</v>
      </c>
      <c r="E518" s="36">
        <v>21.6967</v>
      </c>
    </row>
    <row r="519" spans="1:5" x14ac:dyDescent="0.3">
      <c r="A519" s="1">
        <v>44002</v>
      </c>
      <c r="B519" s="37">
        <v>21.7074</v>
      </c>
      <c r="C519" s="37">
        <v>21.7074</v>
      </c>
      <c r="D519" s="37">
        <v>21.7074</v>
      </c>
      <c r="E519" s="37">
        <v>21.7074</v>
      </c>
    </row>
    <row r="520" spans="1:5" x14ac:dyDescent="0.3">
      <c r="A520" s="2">
        <v>44003</v>
      </c>
      <c r="B520" s="36">
        <v>21.7182</v>
      </c>
      <c r="C520" s="36">
        <v>21.7182</v>
      </c>
      <c r="D520" s="36">
        <v>21.7182</v>
      </c>
      <c r="E520" s="36">
        <v>21.7182</v>
      </c>
    </row>
    <row r="521" spans="1:5" x14ac:dyDescent="0.3">
      <c r="A521" s="1">
        <v>44004</v>
      </c>
      <c r="B521" s="37">
        <v>21.728999999999999</v>
      </c>
      <c r="C521" s="37">
        <v>21.728999999999999</v>
      </c>
      <c r="D521" s="37">
        <v>21.728999999999999</v>
      </c>
      <c r="E521" s="37">
        <v>21.728999999999999</v>
      </c>
    </row>
    <row r="522" spans="1:5" x14ac:dyDescent="0.3">
      <c r="A522" s="2">
        <v>44005</v>
      </c>
      <c r="B522" s="36">
        <v>21.739799999999999</v>
      </c>
      <c r="C522" s="36">
        <v>21.739799999999999</v>
      </c>
      <c r="D522" s="36">
        <v>21.739799999999999</v>
      </c>
      <c r="E522" s="36">
        <v>21.739799999999999</v>
      </c>
    </row>
    <row r="523" spans="1:5" x14ac:dyDescent="0.3">
      <c r="A523" s="1">
        <v>44006</v>
      </c>
      <c r="B523" s="37">
        <v>21.750599999999999</v>
      </c>
      <c r="C523" s="37">
        <v>21.750599999999999</v>
      </c>
      <c r="D523" s="37">
        <v>21.750599999999999</v>
      </c>
      <c r="E523" s="37">
        <v>21.750599999999999</v>
      </c>
    </row>
    <row r="524" spans="1:5" x14ac:dyDescent="0.3">
      <c r="A524" s="2">
        <v>44007</v>
      </c>
      <c r="B524" s="36">
        <v>21.761399999999998</v>
      </c>
      <c r="C524" s="36">
        <v>21.761399999999998</v>
      </c>
      <c r="D524" s="36">
        <v>21.761399999999998</v>
      </c>
      <c r="E524" s="36">
        <v>21.761399999999998</v>
      </c>
    </row>
    <row r="525" spans="1:5" x14ac:dyDescent="0.3">
      <c r="A525" s="1">
        <v>44008</v>
      </c>
      <c r="B525" s="37">
        <v>21.772200000000002</v>
      </c>
      <c r="C525" s="37">
        <v>21.772200000000002</v>
      </c>
      <c r="D525" s="37">
        <v>21.772200000000002</v>
      </c>
      <c r="E525" s="37">
        <v>21.772200000000002</v>
      </c>
    </row>
    <row r="526" spans="1:5" x14ac:dyDescent="0.3">
      <c r="A526" s="2">
        <v>44009</v>
      </c>
      <c r="B526" s="36">
        <v>21.783000000000001</v>
      </c>
      <c r="C526" s="36">
        <v>21.783000000000001</v>
      </c>
      <c r="D526" s="36">
        <v>21.783000000000001</v>
      </c>
      <c r="E526" s="36">
        <v>21.783000000000001</v>
      </c>
    </row>
    <row r="527" spans="1:5" x14ac:dyDescent="0.3">
      <c r="A527" s="1">
        <v>44010</v>
      </c>
      <c r="B527" s="37">
        <v>21.793800000000001</v>
      </c>
      <c r="C527" s="37">
        <v>21.793800000000001</v>
      </c>
      <c r="D527" s="37">
        <v>21.793800000000001</v>
      </c>
      <c r="E527" s="37">
        <v>21.793800000000001</v>
      </c>
    </row>
    <row r="528" spans="1:5" x14ac:dyDescent="0.3">
      <c r="A528" s="2">
        <v>44011</v>
      </c>
      <c r="B528" s="36">
        <v>21.804600000000001</v>
      </c>
      <c r="C528" s="36">
        <v>21.804600000000001</v>
      </c>
      <c r="D528" s="36">
        <v>21.804600000000001</v>
      </c>
      <c r="E528" s="36">
        <v>21.804600000000001</v>
      </c>
    </row>
    <row r="529" spans="1:5" x14ac:dyDescent="0.3">
      <c r="A529" s="1">
        <v>44012</v>
      </c>
      <c r="B529" s="37">
        <v>21.8154</v>
      </c>
      <c r="C529" s="37">
        <v>21.8154</v>
      </c>
      <c r="D529" s="37">
        <v>21.8154</v>
      </c>
      <c r="E529" s="37">
        <v>21.8154</v>
      </c>
    </row>
    <row r="530" spans="1:5" x14ac:dyDescent="0.3">
      <c r="A530" s="2">
        <v>44013</v>
      </c>
      <c r="B530" s="36">
        <v>21.8263</v>
      </c>
      <c r="C530" s="36">
        <v>21.8263</v>
      </c>
      <c r="D530" s="36">
        <v>21.8263</v>
      </c>
      <c r="E530" s="36">
        <v>21.8263</v>
      </c>
    </row>
    <row r="531" spans="1:5" x14ac:dyDescent="0.3">
      <c r="A531" s="1">
        <v>44014</v>
      </c>
      <c r="B531" s="37">
        <v>21.8371</v>
      </c>
      <c r="C531" s="37">
        <v>21.8371</v>
      </c>
      <c r="D531" s="37">
        <v>21.8371</v>
      </c>
      <c r="E531" s="37">
        <v>21.8371</v>
      </c>
    </row>
    <row r="532" spans="1:5" x14ac:dyDescent="0.3">
      <c r="A532" s="2">
        <v>44015</v>
      </c>
      <c r="B532" s="36">
        <v>21.847899999999999</v>
      </c>
      <c r="C532" s="36">
        <v>21.847899999999999</v>
      </c>
      <c r="D532" s="36">
        <v>21.847899999999999</v>
      </c>
      <c r="E532" s="36">
        <v>21.847899999999999</v>
      </c>
    </row>
    <row r="533" spans="1:5" x14ac:dyDescent="0.3">
      <c r="A533" s="1">
        <v>44016</v>
      </c>
      <c r="B533" s="37">
        <v>21.858799999999999</v>
      </c>
      <c r="C533" s="37">
        <v>21.858799999999999</v>
      </c>
      <c r="D533" s="37">
        <v>21.858799999999999</v>
      </c>
      <c r="E533" s="37">
        <v>21.858799999999999</v>
      </c>
    </row>
    <row r="534" spans="1:5" x14ac:dyDescent="0.3">
      <c r="A534" s="2">
        <v>44017</v>
      </c>
      <c r="B534" s="36">
        <v>21.869599999999998</v>
      </c>
      <c r="C534" s="36">
        <v>21.869599999999998</v>
      </c>
      <c r="D534" s="36">
        <v>21.869599999999998</v>
      </c>
      <c r="E534" s="36">
        <v>21.869599999999998</v>
      </c>
    </row>
    <row r="535" spans="1:5" x14ac:dyDescent="0.3">
      <c r="A535" s="1">
        <v>44018</v>
      </c>
      <c r="B535" s="37">
        <v>21.880500000000001</v>
      </c>
      <c r="C535" s="37">
        <v>21.880500000000001</v>
      </c>
      <c r="D535" s="37">
        <v>21.880500000000001</v>
      </c>
      <c r="E535" s="37">
        <v>21.880500000000001</v>
      </c>
    </row>
    <row r="536" spans="1:5" x14ac:dyDescent="0.3">
      <c r="A536" s="2">
        <v>44019</v>
      </c>
      <c r="B536" s="36">
        <v>21.891400000000001</v>
      </c>
      <c r="C536" s="36">
        <v>21.891400000000001</v>
      </c>
      <c r="D536" s="36">
        <v>21.891400000000001</v>
      </c>
      <c r="E536" s="36">
        <v>21.891400000000001</v>
      </c>
    </row>
    <row r="537" spans="1:5" x14ac:dyDescent="0.3">
      <c r="A537" s="1">
        <v>44020</v>
      </c>
      <c r="B537" s="37">
        <v>21.902200000000001</v>
      </c>
      <c r="C537" s="37">
        <v>21.902200000000001</v>
      </c>
      <c r="D537" s="37">
        <v>21.902200000000001</v>
      </c>
      <c r="E537" s="37">
        <v>21.902200000000001</v>
      </c>
    </row>
    <row r="538" spans="1:5" x14ac:dyDescent="0.3">
      <c r="A538" s="2">
        <v>44021</v>
      </c>
      <c r="B538" s="36">
        <v>21.9131</v>
      </c>
      <c r="C538" s="36">
        <v>21.9131</v>
      </c>
      <c r="D538" s="36">
        <v>21.9131</v>
      </c>
      <c r="E538" s="36">
        <v>21.9131</v>
      </c>
    </row>
    <row r="539" spans="1:5" x14ac:dyDescent="0.3">
      <c r="A539" s="1">
        <v>44022</v>
      </c>
      <c r="B539" s="37">
        <v>21.923999999999999</v>
      </c>
      <c r="C539" s="37">
        <v>21.923999999999999</v>
      </c>
      <c r="D539" s="37">
        <v>21.923999999999999</v>
      </c>
      <c r="E539" s="37">
        <v>21.923999999999999</v>
      </c>
    </row>
    <row r="540" spans="1:5" x14ac:dyDescent="0.3">
      <c r="A540" s="2">
        <v>44023</v>
      </c>
      <c r="B540" s="36">
        <v>21.934899999999999</v>
      </c>
      <c r="C540" s="36">
        <v>21.934899999999999</v>
      </c>
      <c r="D540" s="36">
        <v>21.934899999999999</v>
      </c>
      <c r="E540" s="36">
        <v>21.934899999999999</v>
      </c>
    </row>
    <row r="541" spans="1:5" x14ac:dyDescent="0.3">
      <c r="A541" s="1">
        <v>44024</v>
      </c>
      <c r="B541" s="37">
        <v>21.945799999999998</v>
      </c>
      <c r="C541" s="37">
        <v>21.945799999999998</v>
      </c>
      <c r="D541" s="37">
        <v>21.945799999999998</v>
      </c>
      <c r="E541" s="37">
        <v>21.945799999999998</v>
      </c>
    </row>
    <row r="542" spans="1:5" x14ac:dyDescent="0.3">
      <c r="A542" s="2">
        <v>44025</v>
      </c>
      <c r="B542" s="36">
        <v>21.956600000000002</v>
      </c>
      <c r="C542" s="36">
        <v>21.956600000000002</v>
      </c>
      <c r="D542" s="36">
        <v>21.956600000000002</v>
      </c>
      <c r="E542" s="36">
        <v>21.956600000000002</v>
      </c>
    </row>
    <row r="543" spans="1:5" x14ac:dyDescent="0.3">
      <c r="A543" s="1">
        <v>44026</v>
      </c>
      <c r="B543" s="37">
        <v>21.967500000000001</v>
      </c>
      <c r="C543" s="37">
        <v>21.967500000000001</v>
      </c>
      <c r="D543" s="37">
        <v>21.967500000000001</v>
      </c>
      <c r="E543" s="37">
        <v>21.967500000000001</v>
      </c>
    </row>
    <row r="544" spans="1:5" x14ac:dyDescent="0.3">
      <c r="A544" s="2">
        <v>44027</v>
      </c>
      <c r="B544" s="36">
        <v>21.978400000000001</v>
      </c>
      <c r="C544" s="36">
        <v>21.978400000000001</v>
      </c>
      <c r="D544" s="36">
        <v>21.978400000000001</v>
      </c>
      <c r="E544" s="36">
        <v>21.978400000000001</v>
      </c>
    </row>
    <row r="545" spans="1:5" x14ac:dyDescent="0.3">
      <c r="A545" s="1">
        <v>44028</v>
      </c>
      <c r="B545" s="37">
        <v>21.9939</v>
      </c>
      <c r="C545" s="37">
        <v>21.9939</v>
      </c>
      <c r="D545" s="37">
        <v>21.9939</v>
      </c>
      <c r="E545" s="37">
        <v>21.9939</v>
      </c>
    </row>
    <row r="546" spans="1:5" x14ac:dyDescent="0.3">
      <c r="A546" s="2">
        <v>44029</v>
      </c>
      <c r="B546" s="36">
        <v>22.0093</v>
      </c>
      <c r="C546" s="36">
        <v>22.0093</v>
      </c>
      <c r="D546" s="36">
        <v>22.0093</v>
      </c>
      <c r="E546" s="36">
        <v>22.0093</v>
      </c>
    </row>
    <row r="547" spans="1:5" x14ac:dyDescent="0.3">
      <c r="A547" s="1">
        <v>44030</v>
      </c>
      <c r="B547" s="37">
        <v>22.024799999999999</v>
      </c>
      <c r="C547" s="37">
        <v>22.024799999999999</v>
      </c>
      <c r="D547" s="37">
        <v>22.024799999999999</v>
      </c>
      <c r="E547" s="37">
        <v>22.024799999999999</v>
      </c>
    </row>
    <row r="548" spans="1:5" x14ac:dyDescent="0.3">
      <c r="A548" s="2">
        <v>44031</v>
      </c>
      <c r="B548" s="36">
        <v>22.040199999999999</v>
      </c>
      <c r="C548" s="36">
        <v>22.040199999999999</v>
      </c>
      <c r="D548" s="36">
        <v>22.040199999999999</v>
      </c>
      <c r="E548" s="36">
        <v>22.040199999999999</v>
      </c>
    </row>
    <row r="549" spans="1:5" x14ac:dyDescent="0.3">
      <c r="A549" s="1">
        <v>44032</v>
      </c>
      <c r="B549" s="37">
        <v>22.055700000000002</v>
      </c>
      <c r="C549" s="37">
        <v>22.055700000000002</v>
      </c>
      <c r="D549" s="37">
        <v>22.055700000000002</v>
      </c>
      <c r="E549" s="37">
        <v>22.055700000000002</v>
      </c>
    </row>
    <row r="550" spans="1:5" x14ac:dyDescent="0.3">
      <c r="A550" s="2">
        <v>44033</v>
      </c>
      <c r="B550" s="36">
        <v>22.071200000000001</v>
      </c>
      <c r="C550" s="36">
        <v>22.071200000000001</v>
      </c>
      <c r="D550" s="36">
        <v>22.071200000000001</v>
      </c>
      <c r="E550" s="36">
        <v>22.071200000000001</v>
      </c>
    </row>
    <row r="551" spans="1:5" x14ac:dyDescent="0.3">
      <c r="A551" s="1">
        <v>44034</v>
      </c>
      <c r="B551" s="37">
        <v>22.0867</v>
      </c>
      <c r="C551" s="37">
        <v>22.0867</v>
      </c>
      <c r="D551" s="37">
        <v>22.0867</v>
      </c>
      <c r="E551" s="37">
        <v>22.0867</v>
      </c>
    </row>
    <row r="552" spans="1:5" x14ac:dyDescent="0.3">
      <c r="A552" s="2">
        <v>44035</v>
      </c>
      <c r="B552" s="36">
        <v>22.1022</v>
      </c>
      <c r="C552" s="36">
        <v>22.1022</v>
      </c>
      <c r="D552" s="36">
        <v>22.1022</v>
      </c>
      <c r="E552" s="36">
        <v>22.1022</v>
      </c>
    </row>
    <row r="553" spans="1:5" x14ac:dyDescent="0.3">
      <c r="A553" s="1">
        <v>44036</v>
      </c>
      <c r="B553" s="37">
        <v>22.117699999999999</v>
      </c>
      <c r="C553" s="37">
        <v>22.117699999999999</v>
      </c>
      <c r="D553" s="37">
        <v>22.117699999999999</v>
      </c>
      <c r="E553" s="37">
        <v>22.117699999999999</v>
      </c>
    </row>
    <row r="554" spans="1:5" x14ac:dyDescent="0.3">
      <c r="A554" s="2">
        <v>44037</v>
      </c>
      <c r="B554" s="36">
        <v>22.133299999999998</v>
      </c>
      <c r="C554" s="36">
        <v>22.133299999999998</v>
      </c>
      <c r="D554" s="36">
        <v>22.133299999999998</v>
      </c>
      <c r="E554" s="36">
        <v>22.133299999999998</v>
      </c>
    </row>
    <row r="555" spans="1:5" x14ac:dyDescent="0.3">
      <c r="A555" s="1">
        <v>44038</v>
      </c>
      <c r="B555" s="37">
        <v>22.148800000000001</v>
      </c>
      <c r="C555" s="37">
        <v>22.148800000000001</v>
      </c>
      <c r="D555" s="37">
        <v>22.148800000000001</v>
      </c>
      <c r="E555" s="37">
        <v>22.148800000000001</v>
      </c>
    </row>
    <row r="556" spans="1:5" x14ac:dyDescent="0.3">
      <c r="A556" s="2">
        <v>44039</v>
      </c>
      <c r="B556" s="36">
        <v>22.164400000000001</v>
      </c>
      <c r="C556" s="36">
        <v>22.164400000000001</v>
      </c>
      <c r="D556" s="36">
        <v>22.164400000000001</v>
      </c>
      <c r="E556" s="36">
        <v>22.164400000000001</v>
      </c>
    </row>
    <row r="557" spans="1:5" x14ac:dyDescent="0.3">
      <c r="A557" s="1">
        <v>44040</v>
      </c>
      <c r="B557" s="37">
        <v>22.1799</v>
      </c>
      <c r="C557" s="37">
        <v>22.1799</v>
      </c>
      <c r="D557" s="37">
        <v>22.1799</v>
      </c>
      <c r="E557" s="37">
        <v>22.1799</v>
      </c>
    </row>
    <row r="558" spans="1:5" x14ac:dyDescent="0.3">
      <c r="A558" s="2">
        <v>44041</v>
      </c>
      <c r="B558" s="36">
        <v>22.195499999999999</v>
      </c>
      <c r="C558" s="36">
        <v>22.195499999999999</v>
      </c>
      <c r="D558" s="36">
        <v>22.195499999999999</v>
      </c>
      <c r="E558" s="36">
        <v>22.195499999999999</v>
      </c>
    </row>
    <row r="559" spans="1:5" x14ac:dyDescent="0.3">
      <c r="A559" s="1">
        <v>44042</v>
      </c>
      <c r="B559" s="37">
        <v>22.211099999999998</v>
      </c>
      <c r="C559" s="37">
        <v>22.211099999999998</v>
      </c>
      <c r="D559" s="37">
        <v>22.211099999999998</v>
      </c>
      <c r="E559" s="37">
        <v>22.211099999999998</v>
      </c>
    </row>
    <row r="560" spans="1:5" x14ac:dyDescent="0.3">
      <c r="A560" s="2">
        <v>44043</v>
      </c>
      <c r="B560" s="36">
        <v>22.226700000000001</v>
      </c>
      <c r="C560" s="36">
        <v>22.226700000000001</v>
      </c>
      <c r="D560" s="36">
        <v>22.226700000000001</v>
      </c>
      <c r="E560" s="36">
        <v>22.226700000000001</v>
      </c>
    </row>
    <row r="561" spans="1:5" x14ac:dyDescent="0.3">
      <c r="A561" s="1">
        <v>44044</v>
      </c>
      <c r="B561" s="37">
        <v>22.2423</v>
      </c>
      <c r="C561" s="37">
        <v>22.2423</v>
      </c>
      <c r="D561" s="37">
        <v>22.2423</v>
      </c>
      <c r="E561" s="37">
        <v>22.2423</v>
      </c>
    </row>
    <row r="562" spans="1:5" x14ac:dyDescent="0.3">
      <c r="A562" s="2">
        <v>44045</v>
      </c>
      <c r="B562" s="36">
        <v>22.257899999999999</v>
      </c>
      <c r="C562" s="36">
        <v>22.257899999999999</v>
      </c>
      <c r="D562" s="36">
        <v>22.257899999999999</v>
      </c>
      <c r="E562" s="36">
        <v>22.257899999999999</v>
      </c>
    </row>
    <row r="563" spans="1:5" x14ac:dyDescent="0.3">
      <c r="A563" s="1">
        <v>44046</v>
      </c>
      <c r="B563" s="37">
        <v>22.273599999999998</v>
      </c>
      <c r="C563" s="37">
        <v>22.273599999999998</v>
      </c>
      <c r="D563" s="37">
        <v>22.273599999999998</v>
      </c>
      <c r="E563" s="37">
        <v>22.273599999999998</v>
      </c>
    </row>
    <row r="564" spans="1:5" x14ac:dyDescent="0.3">
      <c r="A564" s="2">
        <v>44047</v>
      </c>
      <c r="B564" s="36">
        <v>22.289200000000001</v>
      </c>
      <c r="C564" s="36">
        <v>22.289200000000001</v>
      </c>
      <c r="D564" s="36">
        <v>22.289200000000001</v>
      </c>
      <c r="E564" s="36">
        <v>22.289200000000001</v>
      </c>
    </row>
    <row r="565" spans="1:5" x14ac:dyDescent="0.3">
      <c r="A565" s="1">
        <v>44048</v>
      </c>
      <c r="B565" s="37">
        <v>22.3048</v>
      </c>
      <c r="C565" s="37">
        <v>22.3048</v>
      </c>
      <c r="D565" s="37">
        <v>22.3048</v>
      </c>
      <c r="E565" s="37">
        <v>22.3048</v>
      </c>
    </row>
    <row r="566" spans="1:5" x14ac:dyDescent="0.3">
      <c r="A566" s="2">
        <v>44049</v>
      </c>
      <c r="B566" s="36">
        <v>22.320499999999999</v>
      </c>
      <c r="C566" s="36">
        <v>22.320499999999999</v>
      </c>
      <c r="D566" s="36">
        <v>22.320499999999999</v>
      </c>
      <c r="E566" s="36">
        <v>22.320499999999999</v>
      </c>
    </row>
    <row r="567" spans="1:5" x14ac:dyDescent="0.3">
      <c r="A567" s="1">
        <v>44050</v>
      </c>
      <c r="B567" s="37">
        <v>22.336200000000002</v>
      </c>
      <c r="C567" s="37">
        <v>22.336200000000002</v>
      </c>
      <c r="D567" s="37">
        <v>22.336200000000002</v>
      </c>
      <c r="E567" s="37">
        <v>22.336200000000002</v>
      </c>
    </row>
    <row r="568" spans="1:5" x14ac:dyDescent="0.3">
      <c r="A568" s="2">
        <v>44051</v>
      </c>
      <c r="B568" s="36">
        <v>22.351900000000001</v>
      </c>
      <c r="C568" s="36">
        <v>22.351900000000001</v>
      </c>
      <c r="D568" s="36">
        <v>22.351900000000001</v>
      </c>
      <c r="E568" s="36">
        <v>22.351900000000001</v>
      </c>
    </row>
    <row r="569" spans="1:5" x14ac:dyDescent="0.3">
      <c r="A569" s="1">
        <v>44052</v>
      </c>
      <c r="B569" s="37">
        <v>22.367599999999999</v>
      </c>
      <c r="C569" s="37">
        <v>22.367599999999999</v>
      </c>
      <c r="D569" s="37">
        <v>22.367599999999999</v>
      </c>
      <c r="E569" s="37">
        <v>22.367599999999999</v>
      </c>
    </row>
    <row r="570" spans="1:5" x14ac:dyDescent="0.3">
      <c r="A570" s="2">
        <v>44053</v>
      </c>
      <c r="B570" s="36">
        <v>22.383299999999998</v>
      </c>
      <c r="C570" s="36">
        <v>22.383299999999998</v>
      </c>
      <c r="D570" s="36">
        <v>22.383299999999998</v>
      </c>
      <c r="E570" s="36">
        <v>22.383299999999998</v>
      </c>
    </row>
    <row r="571" spans="1:5" x14ac:dyDescent="0.3">
      <c r="A571" s="1">
        <v>44054</v>
      </c>
      <c r="B571" s="37">
        <v>22.399000000000001</v>
      </c>
      <c r="C571" s="37">
        <v>22.399000000000001</v>
      </c>
      <c r="D571" s="37">
        <v>22.399000000000001</v>
      </c>
      <c r="E571" s="37">
        <v>22.399000000000001</v>
      </c>
    </row>
    <row r="572" spans="1:5" x14ac:dyDescent="0.3">
      <c r="A572" s="2">
        <v>44055</v>
      </c>
      <c r="B572" s="36">
        <v>22.4147</v>
      </c>
      <c r="C572" s="36">
        <v>22.4147</v>
      </c>
      <c r="D572" s="36">
        <v>22.4147</v>
      </c>
      <c r="E572" s="36">
        <v>22.4147</v>
      </c>
    </row>
    <row r="573" spans="1:5" x14ac:dyDescent="0.3">
      <c r="A573" s="1">
        <v>44056</v>
      </c>
      <c r="B573" s="37">
        <v>22.430499999999999</v>
      </c>
      <c r="C573" s="37">
        <v>22.430499999999999</v>
      </c>
      <c r="D573" s="37">
        <v>22.430499999999999</v>
      </c>
      <c r="E573" s="37">
        <v>22.430499999999999</v>
      </c>
    </row>
    <row r="574" spans="1:5" x14ac:dyDescent="0.3">
      <c r="A574" s="2">
        <v>44057</v>
      </c>
      <c r="B574" s="36">
        <v>22.446200000000001</v>
      </c>
      <c r="C574" s="36">
        <v>22.446200000000001</v>
      </c>
      <c r="D574" s="36">
        <v>22.446200000000001</v>
      </c>
      <c r="E574" s="36">
        <v>22.446200000000001</v>
      </c>
    </row>
    <row r="575" spans="1:5" x14ac:dyDescent="0.3">
      <c r="A575" s="1">
        <v>44058</v>
      </c>
      <c r="B575" s="37">
        <v>22.462</v>
      </c>
      <c r="C575" s="37">
        <v>22.462</v>
      </c>
      <c r="D575" s="37">
        <v>22.462</v>
      </c>
      <c r="E575" s="37">
        <v>22.462</v>
      </c>
    </row>
    <row r="576" spans="1:5" x14ac:dyDescent="0.3">
      <c r="A576" s="2">
        <v>44059</v>
      </c>
      <c r="B576" s="36">
        <v>22.4756</v>
      </c>
      <c r="C576" s="36">
        <v>22.4756</v>
      </c>
      <c r="D576" s="36">
        <v>22.4756</v>
      </c>
      <c r="E576" s="36">
        <v>22.4756</v>
      </c>
    </row>
    <row r="577" spans="1:5" x14ac:dyDescent="0.3">
      <c r="A577" s="1">
        <v>44060</v>
      </c>
      <c r="B577" s="37">
        <v>22.4893</v>
      </c>
      <c r="C577" s="37">
        <v>22.4893</v>
      </c>
      <c r="D577" s="37">
        <v>22.4893</v>
      </c>
      <c r="E577" s="37">
        <v>22.4893</v>
      </c>
    </row>
    <row r="578" spans="1:5" x14ac:dyDescent="0.3">
      <c r="A578" s="2">
        <v>44061</v>
      </c>
      <c r="B578" s="36">
        <v>22.5029</v>
      </c>
      <c r="C578" s="36">
        <v>22.5029</v>
      </c>
      <c r="D578" s="36">
        <v>22.5029</v>
      </c>
      <c r="E578" s="36">
        <v>22.5029</v>
      </c>
    </row>
    <row r="579" spans="1:5" x14ac:dyDescent="0.3">
      <c r="A579" s="1">
        <v>44062</v>
      </c>
      <c r="B579" s="37">
        <v>22.5166</v>
      </c>
      <c r="C579" s="37">
        <v>22.5166</v>
      </c>
      <c r="D579" s="37">
        <v>22.5166</v>
      </c>
      <c r="E579" s="37">
        <v>22.5166</v>
      </c>
    </row>
    <row r="580" spans="1:5" x14ac:dyDescent="0.3">
      <c r="A580" s="2">
        <v>44063</v>
      </c>
      <c r="B580" s="36">
        <v>22.5303</v>
      </c>
      <c r="C580" s="36">
        <v>22.5303</v>
      </c>
      <c r="D580" s="36">
        <v>22.5303</v>
      </c>
      <c r="E580" s="36">
        <v>22.5303</v>
      </c>
    </row>
    <row r="581" spans="1:5" x14ac:dyDescent="0.3">
      <c r="A581" s="1">
        <v>44064</v>
      </c>
      <c r="B581" s="37">
        <v>22.544</v>
      </c>
      <c r="C581" s="37">
        <v>22.544</v>
      </c>
      <c r="D581" s="37">
        <v>22.544</v>
      </c>
      <c r="E581" s="37">
        <v>22.544</v>
      </c>
    </row>
    <row r="582" spans="1:5" x14ac:dyDescent="0.3">
      <c r="A582" s="2">
        <v>44065</v>
      </c>
      <c r="B582" s="36">
        <v>22.557600000000001</v>
      </c>
      <c r="C582" s="36">
        <v>22.557600000000001</v>
      </c>
      <c r="D582" s="36">
        <v>22.557600000000001</v>
      </c>
      <c r="E582" s="36">
        <v>22.557600000000001</v>
      </c>
    </row>
    <row r="583" spans="1:5" x14ac:dyDescent="0.3">
      <c r="A583" s="1">
        <v>44066</v>
      </c>
      <c r="B583" s="37">
        <v>22.571300000000001</v>
      </c>
      <c r="C583" s="37">
        <v>22.571300000000001</v>
      </c>
      <c r="D583" s="37">
        <v>22.571300000000001</v>
      </c>
      <c r="E583" s="37">
        <v>22.571300000000001</v>
      </c>
    </row>
    <row r="584" spans="1:5" x14ac:dyDescent="0.3">
      <c r="A584" s="2">
        <v>44067</v>
      </c>
      <c r="B584" s="36">
        <v>22.585100000000001</v>
      </c>
      <c r="C584" s="36">
        <v>22.585100000000001</v>
      </c>
      <c r="D584" s="36">
        <v>22.585100000000001</v>
      </c>
      <c r="E584" s="36">
        <v>22.585100000000001</v>
      </c>
    </row>
    <row r="585" spans="1:5" x14ac:dyDescent="0.3">
      <c r="A585" s="1">
        <v>44068</v>
      </c>
      <c r="B585" s="37">
        <v>22.598800000000001</v>
      </c>
      <c r="C585" s="37">
        <v>22.598800000000001</v>
      </c>
      <c r="D585" s="37">
        <v>22.598800000000001</v>
      </c>
      <c r="E585" s="37">
        <v>22.598800000000001</v>
      </c>
    </row>
    <row r="586" spans="1:5" x14ac:dyDescent="0.3">
      <c r="A586" s="2">
        <v>44069</v>
      </c>
      <c r="B586" s="36">
        <v>22.612500000000001</v>
      </c>
      <c r="C586" s="36">
        <v>22.612500000000001</v>
      </c>
      <c r="D586" s="36">
        <v>22.612500000000001</v>
      </c>
      <c r="E586" s="36">
        <v>22.612500000000001</v>
      </c>
    </row>
    <row r="587" spans="1:5" x14ac:dyDescent="0.3">
      <c r="A587" s="1">
        <v>44070</v>
      </c>
      <c r="B587" s="37">
        <v>22.626200000000001</v>
      </c>
      <c r="C587" s="37">
        <v>22.626200000000001</v>
      </c>
      <c r="D587" s="37">
        <v>22.626200000000001</v>
      </c>
      <c r="E587" s="37">
        <v>22.626200000000001</v>
      </c>
    </row>
    <row r="588" spans="1:5" x14ac:dyDescent="0.3">
      <c r="A588" s="2">
        <v>44071</v>
      </c>
      <c r="B588" s="36">
        <v>22.64</v>
      </c>
      <c r="C588" s="36">
        <v>22.64</v>
      </c>
      <c r="D588" s="36">
        <v>22.64</v>
      </c>
      <c r="E588" s="36">
        <v>22.64</v>
      </c>
    </row>
    <row r="589" spans="1:5" x14ac:dyDescent="0.3">
      <c r="A589" s="1">
        <v>44072</v>
      </c>
      <c r="B589" s="37">
        <v>22.653700000000001</v>
      </c>
      <c r="C589" s="37">
        <v>22.653700000000001</v>
      </c>
      <c r="D589" s="37">
        <v>22.653700000000001</v>
      </c>
      <c r="E589" s="37">
        <v>22.653700000000001</v>
      </c>
    </row>
    <row r="590" spans="1:5" x14ac:dyDescent="0.3">
      <c r="A590" s="2">
        <v>44073</v>
      </c>
      <c r="B590" s="36">
        <v>22.6675</v>
      </c>
      <c r="C590" s="36">
        <v>22.6675</v>
      </c>
      <c r="D590" s="36">
        <v>22.6675</v>
      </c>
      <c r="E590" s="36">
        <v>22.6675</v>
      </c>
    </row>
    <row r="591" spans="1:5" x14ac:dyDescent="0.3">
      <c r="A591" s="1">
        <v>44074</v>
      </c>
      <c r="B591" s="37">
        <v>22.6812</v>
      </c>
      <c r="C591" s="37">
        <v>22.6812</v>
      </c>
      <c r="D591" s="37">
        <v>22.6812</v>
      </c>
      <c r="E591" s="37">
        <v>22.6812</v>
      </c>
    </row>
    <row r="592" spans="1:5" x14ac:dyDescent="0.3">
      <c r="A592" s="2">
        <v>44075</v>
      </c>
      <c r="B592" s="36">
        <v>22.695</v>
      </c>
      <c r="C592" s="36">
        <v>22.695</v>
      </c>
      <c r="D592" s="36">
        <v>22.695</v>
      </c>
      <c r="E592" s="36">
        <v>22.695</v>
      </c>
    </row>
    <row r="593" spans="1:5" x14ac:dyDescent="0.3">
      <c r="A593" s="1">
        <v>44076</v>
      </c>
      <c r="B593" s="37">
        <v>22.7088</v>
      </c>
      <c r="C593" s="37">
        <v>22.7088</v>
      </c>
      <c r="D593" s="37">
        <v>22.7088</v>
      </c>
      <c r="E593" s="37">
        <v>22.7088</v>
      </c>
    </row>
    <row r="594" spans="1:5" x14ac:dyDescent="0.3">
      <c r="A594" s="2">
        <v>44077</v>
      </c>
      <c r="B594" s="36">
        <v>22.7226</v>
      </c>
      <c r="C594" s="36">
        <v>22.7226</v>
      </c>
      <c r="D594" s="36">
        <v>22.7226</v>
      </c>
      <c r="E594" s="36">
        <v>22.7226</v>
      </c>
    </row>
    <row r="595" spans="1:5" x14ac:dyDescent="0.3">
      <c r="A595" s="1">
        <v>44078</v>
      </c>
      <c r="B595" s="37">
        <v>22.7364</v>
      </c>
      <c r="C595" s="37">
        <v>22.7364</v>
      </c>
      <c r="D595" s="37">
        <v>22.7364</v>
      </c>
      <c r="E595" s="37">
        <v>22.7364</v>
      </c>
    </row>
    <row r="596" spans="1:5" x14ac:dyDescent="0.3">
      <c r="A596" s="2">
        <v>44079</v>
      </c>
      <c r="B596" s="36">
        <v>22.7502</v>
      </c>
      <c r="C596" s="36">
        <v>22.7502</v>
      </c>
      <c r="D596" s="36">
        <v>22.7502</v>
      </c>
      <c r="E596" s="36">
        <v>22.7502</v>
      </c>
    </row>
    <row r="597" spans="1:5" x14ac:dyDescent="0.3">
      <c r="A597" s="1">
        <v>44080</v>
      </c>
      <c r="B597" s="37">
        <v>22.763999999999999</v>
      </c>
      <c r="C597" s="37">
        <v>22.763999999999999</v>
      </c>
      <c r="D597" s="37">
        <v>22.763999999999999</v>
      </c>
      <c r="E597" s="37">
        <v>22.763999999999999</v>
      </c>
    </row>
    <row r="598" spans="1:5" x14ac:dyDescent="0.3">
      <c r="A598" s="2">
        <v>44081</v>
      </c>
      <c r="B598" s="36">
        <v>22.777799999999999</v>
      </c>
      <c r="C598" s="36">
        <v>22.777799999999999</v>
      </c>
      <c r="D598" s="36">
        <v>22.777799999999999</v>
      </c>
      <c r="E598" s="36">
        <v>22.777799999999999</v>
      </c>
    </row>
    <row r="599" spans="1:5" x14ac:dyDescent="0.3">
      <c r="A599" s="1">
        <v>44082</v>
      </c>
      <c r="B599" s="37">
        <v>22.791699999999999</v>
      </c>
      <c r="C599" s="37">
        <v>22.791699999999999</v>
      </c>
      <c r="D599" s="37">
        <v>22.791699999999999</v>
      </c>
      <c r="E599" s="37">
        <v>22.791699999999999</v>
      </c>
    </row>
    <row r="600" spans="1:5" x14ac:dyDescent="0.3">
      <c r="A600" s="2">
        <v>44083</v>
      </c>
      <c r="B600" s="36">
        <v>22.805499999999999</v>
      </c>
      <c r="C600" s="36">
        <v>22.805499999999999</v>
      </c>
      <c r="D600" s="36">
        <v>22.805499999999999</v>
      </c>
      <c r="E600" s="36">
        <v>22.805499999999999</v>
      </c>
    </row>
    <row r="601" spans="1:5" x14ac:dyDescent="0.3">
      <c r="A601" s="1">
        <v>44084</v>
      </c>
      <c r="B601" s="37">
        <v>22.819400000000002</v>
      </c>
      <c r="C601" s="37">
        <v>22.819400000000002</v>
      </c>
      <c r="D601" s="37">
        <v>22.819400000000002</v>
      </c>
      <c r="E601" s="37">
        <v>22.819400000000002</v>
      </c>
    </row>
    <row r="602" spans="1:5" x14ac:dyDescent="0.3">
      <c r="A602" s="2">
        <v>44085</v>
      </c>
      <c r="B602" s="36">
        <v>22.833200000000001</v>
      </c>
      <c r="C602" s="36">
        <v>22.833200000000001</v>
      </c>
      <c r="D602" s="36">
        <v>22.833200000000001</v>
      </c>
      <c r="E602" s="36">
        <v>22.833200000000001</v>
      </c>
    </row>
    <row r="603" spans="1:5" x14ac:dyDescent="0.3">
      <c r="A603" s="1">
        <v>44086</v>
      </c>
      <c r="B603" s="37">
        <v>22.847100000000001</v>
      </c>
      <c r="C603" s="37">
        <v>22.847100000000001</v>
      </c>
      <c r="D603" s="37">
        <v>22.847100000000001</v>
      </c>
      <c r="E603" s="37">
        <v>22.847100000000001</v>
      </c>
    </row>
    <row r="604" spans="1:5" x14ac:dyDescent="0.3">
      <c r="A604" s="2">
        <v>44087</v>
      </c>
      <c r="B604" s="36">
        <v>22.861000000000001</v>
      </c>
      <c r="C604" s="36">
        <v>22.861000000000001</v>
      </c>
      <c r="D604" s="36">
        <v>22.861000000000001</v>
      </c>
      <c r="E604" s="36">
        <v>22.861000000000001</v>
      </c>
    </row>
    <row r="605" spans="1:5" x14ac:dyDescent="0.3">
      <c r="A605" s="1">
        <v>44088</v>
      </c>
      <c r="B605" s="37">
        <v>22.8749</v>
      </c>
      <c r="C605" s="37">
        <v>22.8749</v>
      </c>
      <c r="D605" s="37">
        <v>22.8749</v>
      </c>
      <c r="E605" s="37">
        <v>22.8749</v>
      </c>
    </row>
    <row r="606" spans="1:5" x14ac:dyDescent="0.3">
      <c r="A606" s="2">
        <v>44089</v>
      </c>
      <c r="B606" s="36">
        <v>22.8888</v>
      </c>
      <c r="C606" s="36">
        <v>22.8888</v>
      </c>
      <c r="D606" s="36">
        <v>22.8888</v>
      </c>
      <c r="E606" s="36">
        <v>22.8888</v>
      </c>
    </row>
    <row r="607" spans="1:5" x14ac:dyDescent="0.3">
      <c r="A607" s="1">
        <v>44090</v>
      </c>
      <c r="B607" s="37">
        <v>22.909099999999999</v>
      </c>
      <c r="C607" s="37">
        <v>22.909099999999999</v>
      </c>
      <c r="D607" s="37">
        <v>22.909099999999999</v>
      </c>
      <c r="E607" s="37">
        <v>22.909099999999999</v>
      </c>
    </row>
    <row r="608" spans="1:5" x14ac:dyDescent="0.3">
      <c r="A608" s="2">
        <v>44091</v>
      </c>
      <c r="B608" s="36">
        <v>22.929400000000001</v>
      </c>
      <c r="C608" s="36">
        <v>22.929400000000001</v>
      </c>
      <c r="D608" s="36">
        <v>22.929400000000001</v>
      </c>
      <c r="E608" s="36">
        <v>22.929400000000001</v>
      </c>
    </row>
    <row r="609" spans="1:5" x14ac:dyDescent="0.3">
      <c r="A609" s="1">
        <v>44092</v>
      </c>
      <c r="B609" s="37">
        <v>22.9498</v>
      </c>
      <c r="C609" s="37">
        <v>22.9498</v>
      </c>
      <c r="D609" s="37">
        <v>22.9498</v>
      </c>
      <c r="E609" s="37">
        <v>22.9498</v>
      </c>
    </row>
    <row r="610" spans="1:5" x14ac:dyDescent="0.3">
      <c r="A610" s="2">
        <v>44093</v>
      </c>
      <c r="B610" s="36">
        <v>22.970199999999998</v>
      </c>
      <c r="C610" s="36">
        <v>22.970199999999998</v>
      </c>
      <c r="D610" s="36">
        <v>22.970199999999998</v>
      </c>
      <c r="E610" s="36">
        <v>22.970199999999998</v>
      </c>
    </row>
    <row r="611" spans="1:5" x14ac:dyDescent="0.3">
      <c r="A611" s="1">
        <v>44094</v>
      </c>
      <c r="B611" s="37">
        <v>22.990600000000001</v>
      </c>
      <c r="C611" s="37">
        <v>22.990600000000001</v>
      </c>
      <c r="D611" s="37">
        <v>22.990600000000001</v>
      </c>
      <c r="E611" s="37">
        <v>22.990600000000001</v>
      </c>
    </row>
    <row r="612" spans="1:5" x14ac:dyDescent="0.3">
      <c r="A612" s="2">
        <v>44095</v>
      </c>
      <c r="B612" s="36">
        <v>23.010999999999999</v>
      </c>
      <c r="C612" s="36">
        <v>23.010999999999999</v>
      </c>
      <c r="D612" s="36">
        <v>23.010999999999999</v>
      </c>
      <c r="E612" s="36">
        <v>23.010999999999999</v>
      </c>
    </row>
    <row r="613" spans="1:5" x14ac:dyDescent="0.3">
      <c r="A613" s="1">
        <v>44096</v>
      </c>
      <c r="B613" s="37">
        <v>23.031500000000001</v>
      </c>
      <c r="C613" s="37">
        <v>23.031500000000001</v>
      </c>
      <c r="D613" s="37">
        <v>23.031500000000001</v>
      </c>
      <c r="E613" s="37">
        <v>23.031500000000001</v>
      </c>
    </row>
    <row r="614" spans="1:5" x14ac:dyDescent="0.3">
      <c r="A614" s="2">
        <v>44097</v>
      </c>
      <c r="B614" s="36">
        <v>23.0519</v>
      </c>
      <c r="C614" s="36">
        <v>23.0519</v>
      </c>
      <c r="D614" s="36">
        <v>23.0519</v>
      </c>
      <c r="E614" s="36">
        <v>23.0519</v>
      </c>
    </row>
    <row r="615" spans="1:5" x14ac:dyDescent="0.3">
      <c r="A615" s="1">
        <v>44098</v>
      </c>
      <c r="B615" s="37">
        <v>23.072399999999998</v>
      </c>
      <c r="C615" s="37">
        <v>23.072399999999998</v>
      </c>
      <c r="D615" s="37">
        <v>23.072399999999998</v>
      </c>
      <c r="E615" s="37">
        <v>23.072399999999998</v>
      </c>
    </row>
    <row r="616" spans="1:5" x14ac:dyDescent="0.3">
      <c r="A616" s="2">
        <v>44099</v>
      </c>
      <c r="B616" s="36">
        <v>23.0929</v>
      </c>
      <c r="C616" s="36">
        <v>23.0929</v>
      </c>
      <c r="D616" s="36">
        <v>23.0929</v>
      </c>
      <c r="E616" s="36">
        <v>23.0929</v>
      </c>
    </row>
    <row r="617" spans="1:5" x14ac:dyDescent="0.3">
      <c r="A617" s="1">
        <v>44100</v>
      </c>
      <c r="B617" s="37">
        <v>23.113399999999999</v>
      </c>
      <c r="C617" s="37">
        <v>23.113399999999999</v>
      </c>
      <c r="D617" s="37">
        <v>23.113399999999999</v>
      </c>
      <c r="E617" s="37">
        <v>23.113399999999999</v>
      </c>
    </row>
    <row r="618" spans="1:5" x14ac:dyDescent="0.3">
      <c r="A618" s="2">
        <v>44101</v>
      </c>
      <c r="B618" s="36">
        <v>23.134</v>
      </c>
      <c r="C618" s="36">
        <v>23.134</v>
      </c>
      <c r="D618" s="36">
        <v>23.134</v>
      </c>
      <c r="E618" s="36">
        <v>23.134</v>
      </c>
    </row>
    <row r="619" spans="1:5" x14ac:dyDescent="0.3">
      <c r="A619" s="1">
        <v>44102</v>
      </c>
      <c r="B619" s="37">
        <v>23.154499999999999</v>
      </c>
      <c r="C619" s="37">
        <v>23.154499999999999</v>
      </c>
      <c r="D619" s="37">
        <v>23.154499999999999</v>
      </c>
      <c r="E619" s="37">
        <v>23.154499999999999</v>
      </c>
    </row>
    <row r="620" spans="1:5" x14ac:dyDescent="0.3">
      <c r="A620" s="2">
        <v>44103</v>
      </c>
      <c r="B620" s="36">
        <v>23.1751</v>
      </c>
      <c r="C620" s="36">
        <v>23.1751</v>
      </c>
      <c r="D620" s="36">
        <v>23.1751</v>
      </c>
      <c r="E620" s="36">
        <v>23.1751</v>
      </c>
    </row>
    <row r="621" spans="1:5" x14ac:dyDescent="0.3">
      <c r="A621" s="1">
        <v>44104</v>
      </c>
      <c r="B621" s="37">
        <v>23.195699999999999</v>
      </c>
      <c r="C621" s="37">
        <v>23.195699999999999</v>
      </c>
      <c r="D621" s="37">
        <v>23.195699999999999</v>
      </c>
      <c r="E621" s="37">
        <v>23.195699999999999</v>
      </c>
    </row>
    <row r="622" spans="1:5" x14ac:dyDescent="0.3">
      <c r="A622" s="2">
        <v>44105</v>
      </c>
      <c r="B622" s="36">
        <v>23.2163</v>
      </c>
      <c r="C622" s="36">
        <v>23.2163</v>
      </c>
      <c r="D622" s="36">
        <v>23.2163</v>
      </c>
      <c r="E622" s="36">
        <v>23.2163</v>
      </c>
    </row>
    <row r="623" spans="1:5" x14ac:dyDescent="0.3">
      <c r="A623" s="1">
        <v>44106</v>
      </c>
      <c r="B623" s="37">
        <v>23.236899999999999</v>
      </c>
      <c r="C623" s="37">
        <v>23.236899999999999</v>
      </c>
      <c r="D623" s="37">
        <v>23.236899999999999</v>
      </c>
      <c r="E623" s="37">
        <v>23.236899999999999</v>
      </c>
    </row>
    <row r="624" spans="1:5" x14ac:dyDescent="0.3">
      <c r="A624" s="2">
        <v>44107</v>
      </c>
      <c r="B624" s="36">
        <v>23.2576</v>
      </c>
      <c r="C624" s="36">
        <v>23.2576</v>
      </c>
      <c r="D624" s="36">
        <v>23.2576</v>
      </c>
      <c r="E624" s="36">
        <v>23.2576</v>
      </c>
    </row>
    <row r="625" spans="1:5" x14ac:dyDescent="0.3">
      <c r="A625" s="1">
        <v>44108</v>
      </c>
      <c r="B625" s="37">
        <v>23.278199999999998</v>
      </c>
      <c r="C625" s="37">
        <v>23.278199999999998</v>
      </c>
      <c r="D625" s="37">
        <v>23.278199999999998</v>
      </c>
      <c r="E625" s="37">
        <v>23.278199999999998</v>
      </c>
    </row>
    <row r="626" spans="1:5" x14ac:dyDescent="0.3">
      <c r="A626" s="2">
        <v>44109</v>
      </c>
      <c r="B626" s="36">
        <v>23.2989</v>
      </c>
      <c r="C626" s="36">
        <v>23.2989</v>
      </c>
      <c r="D626" s="36">
        <v>23.2989</v>
      </c>
      <c r="E626" s="36">
        <v>23.2989</v>
      </c>
    </row>
    <row r="627" spans="1:5" x14ac:dyDescent="0.3">
      <c r="A627" s="1">
        <v>44110</v>
      </c>
      <c r="B627" s="37">
        <v>23.319600000000001</v>
      </c>
      <c r="C627" s="37">
        <v>23.319600000000001</v>
      </c>
      <c r="D627" s="37">
        <v>23.319600000000001</v>
      </c>
      <c r="E627" s="37">
        <v>23.319600000000001</v>
      </c>
    </row>
    <row r="628" spans="1:5" x14ac:dyDescent="0.3">
      <c r="A628" s="2">
        <v>44111</v>
      </c>
      <c r="B628" s="36">
        <v>23.340299999999999</v>
      </c>
      <c r="C628" s="36">
        <v>23.340299999999999</v>
      </c>
      <c r="D628" s="36">
        <v>23.340299999999999</v>
      </c>
      <c r="E628" s="36">
        <v>23.340299999999999</v>
      </c>
    </row>
    <row r="629" spans="1:5" x14ac:dyDescent="0.3">
      <c r="A629" s="1">
        <v>44112</v>
      </c>
      <c r="B629" s="37">
        <v>23.3611</v>
      </c>
      <c r="C629" s="37">
        <v>23.3611</v>
      </c>
      <c r="D629" s="37">
        <v>23.3611</v>
      </c>
      <c r="E629" s="37">
        <v>23.3611</v>
      </c>
    </row>
    <row r="630" spans="1:5" x14ac:dyDescent="0.3">
      <c r="A630" s="2">
        <v>44113</v>
      </c>
      <c r="B630" s="36">
        <v>23.381799999999998</v>
      </c>
      <c r="C630" s="36">
        <v>23.381799999999998</v>
      </c>
      <c r="D630" s="36">
        <v>23.381799999999998</v>
      </c>
      <c r="E630" s="36">
        <v>23.381799999999998</v>
      </c>
    </row>
    <row r="631" spans="1:5" x14ac:dyDescent="0.3">
      <c r="A631" s="1">
        <v>44114</v>
      </c>
      <c r="B631" s="37">
        <v>23.4026</v>
      </c>
      <c r="C631" s="37">
        <v>23.4026</v>
      </c>
      <c r="D631" s="37">
        <v>23.4026</v>
      </c>
      <c r="E631" s="37">
        <v>23.4026</v>
      </c>
    </row>
    <row r="632" spans="1:5" x14ac:dyDescent="0.3">
      <c r="A632" s="2">
        <v>44115</v>
      </c>
      <c r="B632" s="36">
        <v>23.423400000000001</v>
      </c>
      <c r="C632" s="36">
        <v>23.423400000000001</v>
      </c>
      <c r="D632" s="36">
        <v>23.423400000000001</v>
      </c>
      <c r="E632" s="36">
        <v>23.423400000000001</v>
      </c>
    </row>
    <row r="633" spans="1:5" x14ac:dyDescent="0.3">
      <c r="A633" s="1">
        <v>44116</v>
      </c>
      <c r="B633" s="37">
        <v>23.444199999999999</v>
      </c>
      <c r="C633" s="37">
        <v>23.444199999999999</v>
      </c>
      <c r="D633" s="37">
        <v>23.444199999999999</v>
      </c>
      <c r="E633" s="37">
        <v>23.444199999999999</v>
      </c>
    </row>
    <row r="634" spans="1:5" x14ac:dyDescent="0.3">
      <c r="A634" s="2">
        <v>44117</v>
      </c>
      <c r="B634" s="36">
        <v>23.465</v>
      </c>
      <c r="C634" s="36">
        <v>23.465</v>
      </c>
      <c r="D634" s="36">
        <v>23.465</v>
      </c>
      <c r="E634" s="36">
        <v>23.465</v>
      </c>
    </row>
    <row r="635" spans="1:5" x14ac:dyDescent="0.3">
      <c r="A635" s="1">
        <v>44118</v>
      </c>
      <c r="B635" s="37">
        <v>23.485900000000001</v>
      </c>
      <c r="C635" s="37">
        <v>23.485900000000001</v>
      </c>
      <c r="D635" s="37">
        <v>23.485900000000001</v>
      </c>
      <c r="E635" s="37">
        <v>23.485900000000001</v>
      </c>
    </row>
    <row r="636" spans="1:5" x14ac:dyDescent="0.3">
      <c r="A636" s="2">
        <v>44119</v>
      </c>
      <c r="B636" s="36">
        <v>23.506699999999999</v>
      </c>
      <c r="C636" s="36">
        <v>23.506699999999999</v>
      </c>
      <c r="D636" s="36">
        <v>23.506699999999999</v>
      </c>
      <c r="E636" s="36">
        <v>23.506699999999999</v>
      </c>
    </row>
    <row r="637" spans="1:5" x14ac:dyDescent="0.3">
      <c r="A637" s="1">
        <v>44120</v>
      </c>
      <c r="B637" s="37">
        <v>23.527699999999999</v>
      </c>
      <c r="C637" s="37">
        <v>23.527699999999999</v>
      </c>
      <c r="D637" s="37">
        <v>23.527699999999999</v>
      </c>
      <c r="E637" s="37">
        <v>23.527699999999999</v>
      </c>
    </row>
    <row r="638" spans="1:5" x14ac:dyDescent="0.3">
      <c r="A638" s="2">
        <v>44121</v>
      </c>
      <c r="B638" s="36">
        <v>23.5487</v>
      </c>
      <c r="C638" s="36">
        <v>23.5487</v>
      </c>
      <c r="D638" s="36">
        <v>23.5487</v>
      </c>
      <c r="E638" s="36">
        <v>23.5487</v>
      </c>
    </row>
    <row r="639" spans="1:5" x14ac:dyDescent="0.3">
      <c r="A639" s="1">
        <v>44122</v>
      </c>
      <c r="B639" s="37">
        <v>23.569700000000001</v>
      </c>
      <c r="C639" s="37">
        <v>23.569700000000001</v>
      </c>
      <c r="D639" s="37">
        <v>23.569700000000001</v>
      </c>
      <c r="E639" s="37">
        <v>23.569700000000001</v>
      </c>
    </row>
    <row r="640" spans="1:5" x14ac:dyDescent="0.3">
      <c r="A640" s="2">
        <v>44123</v>
      </c>
      <c r="B640" s="36">
        <v>23.590699999999998</v>
      </c>
      <c r="C640" s="36">
        <v>23.590699999999998</v>
      </c>
      <c r="D640" s="36">
        <v>23.590699999999998</v>
      </c>
      <c r="E640" s="36">
        <v>23.590699999999998</v>
      </c>
    </row>
    <row r="641" spans="1:5" x14ac:dyDescent="0.3">
      <c r="A641" s="1">
        <v>44124</v>
      </c>
      <c r="B641" s="37">
        <v>23.611699999999999</v>
      </c>
      <c r="C641" s="37">
        <v>23.611699999999999</v>
      </c>
      <c r="D641" s="37">
        <v>23.611699999999999</v>
      </c>
      <c r="E641" s="37">
        <v>23.611699999999999</v>
      </c>
    </row>
    <row r="642" spans="1:5" x14ac:dyDescent="0.3">
      <c r="A642" s="2">
        <v>44125</v>
      </c>
      <c r="B642" s="36">
        <v>23.6327</v>
      </c>
      <c r="C642" s="36">
        <v>23.6327</v>
      </c>
      <c r="D642" s="36">
        <v>23.6327</v>
      </c>
      <c r="E642" s="36">
        <v>23.6327</v>
      </c>
    </row>
    <row r="643" spans="1:5" x14ac:dyDescent="0.3">
      <c r="A643" s="1">
        <v>44126</v>
      </c>
      <c r="B643" s="37">
        <v>23.6538</v>
      </c>
      <c r="C643" s="37">
        <v>23.6538</v>
      </c>
      <c r="D643" s="37">
        <v>23.6538</v>
      </c>
      <c r="E643" s="37">
        <v>23.6538</v>
      </c>
    </row>
    <row r="644" spans="1:5" x14ac:dyDescent="0.3">
      <c r="A644" s="2">
        <v>44127</v>
      </c>
      <c r="B644" s="36">
        <v>23.674900000000001</v>
      </c>
      <c r="C644" s="36">
        <v>23.674900000000001</v>
      </c>
      <c r="D644" s="36">
        <v>23.674900000000001</v>
      </c>
      <c r="E644" s="36">
        <v>23.674900000000001</v>
      </c>
    </row>
    <row r="645" spans="1:5" x14ac:dyDescent="0.3">
      <c r="A645" s="1">
        <v>44128</v>
      </c>
      <c r="B645" s="37">
        <v>23.696000000000002</v>
      </c>
      <c r="C645" s="37">
        <v>23.696000000000002</v>
      </c>
      <c r="D645" s="37">
        <v>23.696000000000002</v>
      </c>
      <c r="E645" s="37">
        <v>23.696000000000002</v>
      </c>
    </row>
    <row r="646" spans="1:5" x14ac:dyDescent="0.3">
      <c r="A646" s="2">
        <v>44129</v>
      </c>
      <c r="B646" s="36">
        <v>23.717099999999999</v>
      </c>
      <c r="C646" s="36">
        <v>23.717099999999999</v>
      </c>
      <c r="D646" s="36">
        <v>23.717099999999999</v>
      </c>
      <c r="E646" s="36">
        <v>23.717099999999999</v>
      </c>
    </row>
    <row r="647" spans="1:5" x14ac:dyDescent="0.3">
      <c r="A647" s="1">
        <v>44130</v>
      </c>
      <c r="B647" s="37">
        <v>23.738199999999999</v>
      </c>
      <c r="C647" s="37">
        <v>23.738199999999999</v>
      </c>
      <c r="D647" s="37">
        <v>23.738199999999999</v>
      </c>
      <c r="E647" s="37">
        <v>23.738199999999999</v>
      </c>
    </row>
    <row r="648" spans="1:5" x14ac:dyDescent="0.3">
      <c r="A648" s="2">
        <v>44131</v>
      </c>
      <c r="B648" s="36">
        <v>23.759399999999999</v>
      </c>
      <c r="C648" s="36">
        <v>23.759399999999999</v>
      </c>
      <c r="D648" s="36">
        <v>23.759399999999999</v>
      </c>
      <c r="E648" s="36">
        <v>23.759399999999999</v>
      </c>
    </row>
    <row r="649" spans="1:5" x14ac:dyDescent="0.3">
      <c r="A649" s="1">
        <v>44132</v>
      </c>
      <c r="B649" s="37">
        <v>23.7806</v>
      </c>
      <c r="C649" s="37">
        <v>23.7806</v>
      </c>
      <c r="D649" s="37">
        <v>23.7806</v>
      </c>
      <c r="E649" s="37">
        <v>23.7806</v>
      </c>
    </row>
    <row r="650" spans="1:5" x14ac:dyDescent="0.3">
      <c r="A650" s="2">
        <v>44133</v>
      </c>
      <c r="B650" s="36">
        <v>23.8017</v>
      </c>
      <c r="C650" s="36">
        <v>23.8017</v>
      </c>
      <c r="D650" s="36">
        <v>23.8017</v>
      </c>
      <c r="E650" s="36">
        <v>23.8017</v>
      </c>
    </row>
    <row r="651" spans="1:5" x14ac:dyDescent="0.3">
      <c r="A651" s="1">
        <v>44134</v>
      </c>
      <c r="B651" s="37">
        <v>23.823</v>
      </c>
      <c r="C651" s="37">
        <v>23.823</v>
      </c>
      <c r="D651" s="37">
        <v>23.823</v>
      </c>
      <c r="E651" s="37">
        <v>23.823</v>
      </c>
    </row>
    <row r="652" spans="1:5" x14ac:dyDescent="0.3">
      <c r="A652" s="2">
        <v>44135</v>
      </c>
      <c r="B652" s="36">
        <v>23.844200000000001</v>
      </c>
      <c r="C652" s="36">
        <v>23.844200000000001</v>
      </c>
      <c r="D652" s="36">
        <v>23.844200000000001</v>
      </c>
      <c r="E652" s="36">
        <v>23.844200000000001</v>
      </c>
    </row>
    <row r="653" spans="1:5" x14ac:dyDescent="0.3">
      <c r="A653" s="1">
        <v>44136</v>
      </c>
      <c r="B653" s="37">
        <v>23.865400000000001</v>
      </c>
      <c r="C653" s="37">
        <v>23.865400000000001</v>
      </c>
      <c r="D653" s="37">
        <v>23.865400000000001</v>
      </c>
      <c r="E653" s="37">
        <v>23.865400000000001</v>
      </c>
    </row>
    <row r="654" spans="1:5" x14ac:dyDescent="0.3">
      <c r="A654" s="2">
        <v>44137</v>
      </c>
      <c r="B654" s="36">
        <v>23.886700000000001</v>
      </c>
      <c r="C654" s="36">
        <v>23.886700000000001</v>
      </c>
      <c r="D654" s="36">
        <v>23.886700000000001</v>
      </c>
      <c r="E654" s="36">
        <v>23.886700000000001</v>
      </c>
    </row>
    <row r="655" spans="1:5" x14ac:dyDescent="0.3">
      <c r="A655" s="1">
        <v>44138</v>
      </c>
      <c r="B655" s="37">
        <v>23.908000000000001</v>
      </c>
      <c r="C655" s="37">
        <v>23.908000000000001</v>
      </c>
      <c r="D655" s="37">
        <v>23.908000000000001</v>
      </c>
      <c r="E655" s="37">
        <v>23.908000000000001</v>
      </c>
    </row>
    <row r="656" spans="1:5" x14ac:dyDescent="0.3">
      <c r="A656" s="2">
        <v>44139</v>
      </c>
      <c r="B656" s="36">
        <v>23.929300000000001</v>
      </c>
      <c r="C656" s="36">
        <v>23.929300000000001</v>
      </c>
      <c r="D656" s="36">
        <v>23.929300000000001</v>
      </c>
      <c r="E656" s="36">
        <v>23.929300000000001</v>
      </c>
    </row>
    <row r="657" spans="1:5" x14ac:dyDescent="0.3">
      <c r="A657" s="1">
        <v>44140</v>
      </c>
      <c r="B657" s="37">
        <v>23.950600000000001</v>
      </c>
      <c r="C657" s="37">
        <v>23.950600000000001</v>
      </c>
      <c r="D657" s="37">
        <v>23.950600000000001</v>
      </c>
      <c r="E657" s="37">
        <v>23.950600000000001</v>
      </c>
    </row>
    <row r="658" spans="1:5" x14ac:dyDescent="0.3">
      <c r="A658" s="2">
        <v>44141</v>
      </c>
      <c r="B658" s="36">
        <v>23.972000000000001</v>
      </c>
      <c r="C658" s="36">
        <v>23.972000000000001</v>
      </c>
      <c r="D658" s="36">
        <v>23.972000000000001</v>
      </c>
      <c r="E658" s="36">
        <v>23.972000000000001</v>
      </c>
    </row>
    <row r="659" spans="1:5" x14ac:dyDescent="0.3">
      <c r="A659" s="1">
        <v>44142</v>
      </c>
      <c r="B659" s="37">
        <v>23.993300000000001</v>
      </c>
      <c r="C659" s="37">
        <v>23.993300000000001</v>
      </c>
      <c r="D659" s="37">
        <v>23.993300000000001</v>
      </c>
      <c r="E659" s="37">
        <v>23.993300000000001</v>
      </c>
    </row>
    <row r="660" spans="1:5" x14ac:dyDescent="0.3">
      <c r="A660" s="2">
        <v>44143</v>
      </c>
      <c r="B660" s="36">
        <v>24.014700000000001</v>
      </c>
      <c r="C660" s="36">
        <v>24.014700000000001</v>
      </c>
      <c r="D660" s="36">
        <v>24.014700000000001</v>
      </c>
      <c r="E660" s="36">
        <v>24.014700000000001</v>
      </c>
    </row>
    <row r="661" spans="1:5" x14ac:dyDescent="0.3">
      <c r="A661" s="1">
        <v>44144</v>
      </c>
      <c r="B661" s="37">
        <v>24.036100000000001</v>
      </c>
      <c r="C661" s="37">
        <v>24.036100000000001</v>
      </c>
      <c r="D661" s="37">
        <v>24.036100000000001</v>
      </c>
      <c r="E661" s="37">
        <v>24.036100000000001</v>
      </c>
    </row>
    <row r="662" spans="1:5" x14ac:dyDescent="0.3">
      <c r="A662" s="2">
        <v>44145</v>
      </c>
      <c r="B662" s="36">
        <v>24.057500000000001</v>
      </c>
      <c r="C662" s="36">
        <v>24.057500000000001</v>
      </c>
      <c r="D662" s="36">
        <v>24.057500000000001</v>
      </c>
      <c r="E662" s="36">
        <v>24.057500000000001</v>
      </c>
    </row>
    <row r="663" spans="1:5" x14ac:dyDescent="0.3">
      <c r="A663" s="1">
        <v>44146</v>
      </c>
      <c r="B663" s="37">
        <v>24.079000000000001</v>
      </c>
      <c r="C663" s="37">
        <v>24.079000000000001</v>
      </c>
      <c r="D663" s="37">
        <v>24.079000000000001</v>
      </c>
      <c r="E663" s="37">
        <v>24.079000000000001</v>
      </c>
    </row>
    <row r="664" spans="1:5" x14ac:dyDescent="0.3">
      <c r="A664" s="2">
        <v>44147</v>
      </c>
      <c r="B664" s="36">
        <v>24.1004</v>
      </c>
      <c r="C664" s="36">
        <v>24.1004</v>
      </c>
      <c r="D664" s="36">
        <v>24.1004</v>
      </c>
      <c r="E664" s="36">
        <v>24.1004</v>
      </c>
    </row>
    <row r="665" spans="1:5" x14ac:dyDescent="0.3">
      <c r="A665" s="1">
        <v>44148</v>
      </c>
      <c r="B665" s="37">
        <v>24.1219</v>
      </c>
      <c r="C665" s="37">
        <v>24.1219</v>
      </c>
      <c r="D665" s="37">
        <v>24.1219</v>
      </c>
      <c r="E665" s="37">
        <v>24.1219</v>
      </c>
    </row>
    <row r="666" spans="1:5" x14ac:dyDescent="0.3">
      <c r="A666" s="2">
        <v>44149</v>
      </c>
      <c r="B666" s="36">
        <v>24.1434</v>
      </c>
      <c r="C666" s="36">
        <v>24.1434</v>
      </c>
      <c r="D666" s="36">
        <v>24.1434</v>
      </c>
      <c r="E666" s="36">
        <v>24.1434</v>
      </c>
    </row>
    <row r="667" spans="1:5" x14ac:dyDescent="0.3">
      <c r="A667" s="1">
        <v>44150</v>
      </c>
      <c r="B667" s="37">
        <v>24.164899999999999</v>
      </c>
      <c r="C667" s="37">
        <v>24.164899999999999</v>
      </c>
      <c r="D667" s="37">
        <v>24.164899999999999</v>
      </c>
      <c r="E667" s="37">
        <v>24.164899999999999</v>
      </c>
    </row>
    <row r="668" spans="1:5" x14ac:dyDescent="0.3">
      <c r="A668" s="2">
        <v>44151</v>
      </c>
      <c r="B668" s="36">
        <v>24.195</v>
      </c>
      <c r="C668" s="36">
        <v>24.195</v>
      </c>
      <c r="D668" s="36">
        <v>24.195</v>
      </c>
      <c r="E668" s="36">
        <v>24.195</v>
      </c>
    </row>
    <row r="669" spans="1:5" x14ac:dyDescent="0.3">
      <c r="A669" s="1">
        <v>44152</v>
      </c>
      <c r="B669" s="37">
        <v>24.225100000000001</v>
      </c>
      <c r="C669" s="37">
        <v>24.225100000000001</v>
      </c>
      <c r="D669" s="37">
        <v>24.225100000000001</v>
      </c>
      <c r="E669" s="37">
        <v>24.225100000000001</v>
      </c>
    </row>
    <row r="670" spans="1:5" x14ac:dyDescent="0.3">
      <c r="A670" s="2">
        <v>44153</v>
      </c>
      <c r="B670" s="36">
        <v>24.255199999999999</v>
      </c>
      <c r="C670" s="36">
        <v>24.255199999999999</v>
      </c>
      <c r="D670" s="36">
        <v>24.255199999999999</v>
      </c>
      <c r="E670" s="36">
        <v>24.255199999999999</v>
      </c>
    </row>
    <row r="671" spans="1:5" x14ac:dyDescent="0.3">
      <c r="A671" s="1">
        <v>44154</v>
      </c>
      <c r="B671" s="37">
        <v>24.285399999999999</v>
      </c>
      <c r="C671" s="37">
        <v>24.285399999999999</v>
      </c>
      <c r="D671" s="37">
        <v>24.285399999999999</v>
      </c>
      <c r="E671" s="37">
        <v>24.285399999999999</v>
      </c>
    </row>
    <row r="672" spans="1:5" x14ac:dyDescent="0.3">
      <c r="A672" s="2">
        <v>44155</v>
      </c>
      <c r="B672" s="36">
        <v>24.3156</v>
      </c>
      <c r="C672" s="36">
        <v>24.3156</v>
      </c>
      <c r="D672" s="36">
        <v>24.3156</v>
      </c>
      <c r="E672" s="36">
        <v>24.3156</v>
      </c>
    </row>
    <row r="673" spans="1:5" x14ac:dyDescent="0.3">
      <c r="A673" s="1">
        <v>44156</v>
      </c>
      <c r="B673" s="37">
        <v>24.3459</v>
      </c>
      <c r="C673" s="37">
        <v>24.3459</v>
      </c>
      <c r="D673" s="37">
        <v>24.3459</v>
      </c>
      <c r="E673" s="37">
        <v>24.3459</v>
      </c>
    </row>
    <row r="674" spans="1:5" x14ac:dyDescent="0.3">
      <c r="A674" s="2">
        <v>44157</v>
      </c>
      <c r="B674" s="36">
        <v>24.376100000000001</v>
      </c>
      <c r="C674" s="36">
        <v>24.376100000000001</v>
      </c>
      <c r="D674" s="36">
        <v>24.376100000000001</v>
      </c>
      <c r="E674" s="36">
        <v>24.376100000000001</v>
      </c>
    </row>
    <row r="675" spans="1:5" x14ac:dyDescent="0.3">
      <c r="A675" s="1">
        <v>44158</v>
      </c>
      <c r="B675" s="37">
        <v>24.406500000000001</v>
      </c>
      <c r="C675" s="37">
        <v>24.406500000000001</v>
      </c>
      <c r="D675" s="37">
        <v>24.406500000000001</v>
      </c>
      <c r="E675" s="37">
        <v>24.406500000000001</v>
      </c>
    </row>
    <row r="676" spans="1:5" x14ac:dyDescent="0.3">
      <c r="A676" s="2">
        <v>44159</v>
      </c>
      <c r="B676" s="36">
        <v>24.436800000000002</v>
      </c>
      <c r="C676" s="36">
        <v>24.436800000000002</v>
      </c>
      <c r="D676" s="36">
        <v>24.436800000000002</v>
      </c>
      <c r="E676" s="36">
        <v>24.436800000000002</v>
      </c>
    </row>
    <row r="677" spans="1:5" x14ac:dyDescent="0.3">
      <c r="A677" s="1">
        <v>44160</v>
      </c>
      <c r="B677" s="37">
        <v>24.467199999999998</v>
      </c>
      <c r="C677" s="37">
        <v>24.467199999999998</v>
      </c>
      <c r="D677" s="37">
        <v>24.467199999999998</v>
      </c>
      <c r="E677" s="37">
        <v>24.467199999999998</v>
      </c>
    </row>
    <row r="678" spans="1:5" x14ac:dyDescent="0.3">
      <c r="A678" s="2">
        <v>44161</v>
      </c>
      <c r="B678" s="36">
        <v>24.497699999999998</v>
      </c>
      <c r="C678" s="36">
        <v>24.497699999999998</v>
      </c>
      <c r="D678" s="36">
        <v>24.497699999999998</v>
      </c>
      <c r="E678" s="36">
        <v>24.497699999999998</v>
      </c>
    </row>
    <row r="679" spans="1:5" x14ac:dyDescent="0.3">
      <c r="A679" s="1">
        <v>44162</v>
      </c>
      <c r="B679" s="37">
        <v>24.528099999999998</v>
      </c>
      <c r="C679" s="37">
        <v>24.528099999999998</v>
      </c>
      <c r="D679" s="37">
        <v>24.528099999999998</v>
      </c>
      <c r="E679" s="37">
        <v>24.528099999999998</v>
      </c>
    </row>
    <row r="680" spans="1:5" x14ac:dyDescent="0.3">
      <c r="A680" s="2">
        <v>44163</v>
      </c>
      <c r="B680" s="36">
        <v>24.558700000000002</v>
      </c>
      <c r="C680" s="36">
        <v>24.558700000000002</v>
      </c>
      <c r="D680" s="36">
        <v>24.558700000000002</v>
      </c>
      <c r="E680" s="36">
        <v>24.558700000000002</v>
      </c>
    </row>
    <row r="681" spans="1:5" x14ac:dyDescent="0.3">
      <c r="A681" s="1">
        <v>44164</v>
      </c>
      <c r="B681" s="37">
        <v>24.589200000000002</v>
      </c>
      <c r="C681" s="37">
        <v>24.589200000000002</v>
      </c>
      <c r="D681" s="37">
        <v>24.589200000000002</v>
      </c>
      <c r="E681" s="37">
        <v>24.589200000000002</v>
      </c>
    </row>
    <row r="682" spans="1:5" x14ac:dyDescent="0.3">
      <c r="A682" s="2">
        <v>44165</v>
      </c>
      <c r="B682" s="36">
        <v>24.619800000000001</v>
      </c>
      <c r="C682" s="36">
        <v>24.619800000000001</v>
      </c>
      <c r="D682" s="36">
        <v>24.619800000000001</v>
      </c>
      <c r="E682" s="36">
        <v>24.619800000000001</v>
      </c>
    </row>
    <row r="683" spans="1:5" x14ac:dyDescent="0.3">
      <c r="A683" s="1">
        <v>44166</v>
      </c>
      <c r="B683" s="37">
        <v>24.650400000000001</v>
      </c>
      <c r="C683" s="37">
        <v>24.650400000000001</v>
      </c>
      <c r="D683" s="37">
        <v>24.650400000000001</v>
      </c>
      <c r="E683" s="37">
        <v>24.650400000000001</v>
      </c>
    </row>
    <row r="684" spans="1:5" x14ac:dyDescent="0.3">
      <c r="A684" s="2">
        <v>44167</v>
      </c>
      <c r="B684" s="36">
        <v>24.681100000000001</v>
      </c>
      <c r="C684" s="36">
        <v>24.681100000000001</v>
      </c>
      <c r="D684" s="36">
        <v>24.681100000000001</v>
      </c>
      <c r="E684" s="36">
        <v>24.681100000000001</v>
      </c>
    </row>
    <row r="685" spans="1:5" x14ac:dyDescent="0.3">
      <c r="A685" s="1">
        <v>44168</v>
      </c>
      <c r="B685" s="37">
        <v>24.7118</v>
      </c>
      <c r="C685" s="37">
        <v>24.7118</v>
      </c>
      <c r="D685" s="37">
        <v>24.7118</v>
      </c>
      <c r="E685" s="37">
        <v>24.7118</v>
      </c>
    </row>
    <row r="686" spans="1:5" x14ac:dyDescent="0.3">
      <c r="A686" s="2">
        <v>44169</v>
      </c>
      <c r="B686" s="36">
        <v>24.7425</v>
      </c>
      <c r="C686" s="36">
        <v>24.7425</v>
      </c>
      <c r="D686" s="36">
        <v>24.7425</v>
      </c>
      <c r="E686" s="36">
        <v>24.7425</v>
      </c>
    </row>
    <row r="687" spans="1:5" x14ac:dyDescent="0.3">
      <c r="A687" s="1">
        <v>44170</v>
      </c>
      <c r="B687" s="37">
        <v>24.773299999999999</v>
      </c>
      <c r="C687" s="37">
        <v>24.773299999999999</v>
      </c>
      <c r="D687" s="37">
        <v>24.773299999999999</v>
      </c>
      <c r="E687" s="37">
        <v>24.773299999999999</v>
      </c>
    </row>
    <row r="688" spans="1:5" x14ac:dyDescent="0.3">
      <c r="A688" s="2">
        <v>44171</v>
      </c>
      <c r="B688" s="36">
        <v>24.804099999999998</v>
      </c>
      <c r="C688" s="36">
        <v>24.804099999999998</v>
      </c>
      <c r="D688" s="36">
        <v>24.804099999999998</v>
      </c>
      <c r="E688" s="36">
        <v>24.804099999999998</v>
      </c>
    </row>
    <row r="689" spans="1:5" x14ac:dyDescent="0.3">
      <c r="A689" s="1">
        <v>44172</v>
      </c>
      <c r="B689" s="37">
        <v>24.835000000000001</v>
      </c>
      <c r="C689" s="37">
        <v>24.835000000000001</v>
      </c>
      <c r="D689" s="37">
        <v>24.835000000000001</v>
      </c>
      <c r="E689" s="37">
        <v>24.835000000000001</v>
      </c>
    </row>
    <row r="690" spans="1:5" x14ac:dyDescent="0.3">
      <c r="A690" s="2">
        <v>44173</v>
      </c>
      <c r="B690" s="36">
        <v>24.8659</v>
      </c>
      <c r="C690" s="36">
        <v>24.8659</v>
      </c>
      <c r="D690" s="36">
        <v>24.8659</v>
      </c>
      <c r="E690" s="36">
        <v>24.8659</v>
      </c>
    </row>
    <row r="691" spans="1:5" x14ac:dyDescent="0.3">
      <c r="A691" s="1">
        <v>44174</v>
      </c>
      <c r="B691" s="37">
        <v>24.896799999999999</v>
      </c>
      <c r="C691" s="37">
        <v>24.896799999999999</v>
      </c>
      <c r="D691" s="37">
        <v>24.896799999999999</v>
      </c>
      <c r="E691" s="37">
        <v>24.896799999999999</v>
      </c>
    </row>
    <row r="692" spans="1:5" x14ac:dyDescent="0.3">
      <c r="A692" s="2">
        <v>44175</v>
      </c>
      <c r="B692" s="36">
        <v>24.927800000000001</v>
      </c>
      <c r="C692" s="36">
        <v>24.927800000000001</v>
      </c>
      <c r="D692" s="36">
        <v>24.927800000000001</v>
      </c>
      <c r="E692" s="36">
        <v>24.927800000000001</v>
      </c>
    </row>
    <row r="693" spans="1:5" x14ac:dyDescent="0.3">
      <c r="A693" s="1">
        <v>44176</v>
      </c>
      <c r="B693" s="37">
        <v>24.9588</v>
      </c>
      <c r="C693" s="37">
        <v>24.9588</v>
      </c>
      <c r="D693" s="37">
        <v>24.9588</v>
      </c>
      <c r="E693" s="37">
        <v>24.9588</v>
      </c>
    </row>
    <row r="694" spans="1:5" x14ac:dyDescent="0.3">
      <c r="A694" s="2">
        <v>44177</v>
      </c>
      <c r="B694" s="36">
        <v>24.989799999999999</v>
      </c>
      <c r="C694" s="36">
        <v>24.989799999999999</v>
      </c>
      <c r="D694" s="36">
        <v>24.989799999999999</v>
      </c>
      <c r="E694" s="36">
        <v>24.989799999999999</v>
      </c>
    </row>
    <row r="695" spans="1:5" x14ac:dyDescent="0.3">
      <c r="A695" s="1">
        <v>44178</v>
      </c>
      <c r="B695" s="37">
        <v>25.020900000000001</v>
      </c>
      <c r="C695" s="37">
        <v>25.020900000000001</v>
      </c>
      <c r="D695" s="37">
        <v>25.020900000000001</v>
      </c>
      <c r="E695" s="37">
        <v>25.020900000000001</v>
      </c>
    </row>
    <row r="696" spans="1:5" x14ac:dyDescent="0.3">
      <c r="A696" s="2">
        <v>44179</v>
      </c>
      <c r="B696" s="36">
        <v>25.052</v>
      </c>
      <c r="C696" s="36">
        <v>25.052</v>
      </c>
      <c r="D696" s="36">
        <v>25.052</v>
      </c>
      <c r="E696" s="36">
        <v>25.052</v>
      </c>
    </row>
    <row r="697" spans="1:5" x14ac:dyDescent="0.3">
      <c r="A697" s="1">
        <v>44180</v>
      </c>
      <c r="B697" s="37">
        <v>25.083200000000001</v>
      </c>
      <c r="C697" s="37">
        <v>25.083200000000001</v>
      </c>
      <c r="D697" s="37">
        <v>25.083200000000001</v>
      </c>
      <c r="E697" s="37">
        <v>25.083200000000001</v>
      </c>
    </row>
    <row r="698" spans="1:5" x14ac:dyDescent="0.3">
      <c r="A698" s="2">
        <v>44181</v>
      </c>
      <c r="B698" s="36">
        <v>25.108699999999999</v>
      </c>
      <c r="C698" s="36">
        <v>25.108699999999999</v>
      </c>
      <c r="D698" s="36">
        <v>25.108699999999999</v>
      </c>
      <c r="E698" s="36">
        <v>25.108699999999999</v>
      </c>
    </row>
    <row r="699" spans="1:5" x14ac:dyDescent="0.3">
      <c r="A699" s="1">
        <v>44182</v>
      </c>
      <c r="B699" s="37">
        <v>25.1342</v>
      </c>
      <c r="C699" s="37">
        <v>25.1342</v>
      </c>
      <c r="D699" s="37">
        <v>25.1342</v>
      </c>
      <c r="E699" s="37">
        <v>25.1342</v>
      </c>
    </row>
    <row r="700" spans="1:5" x14ac:dyDescent="0.3">
      <c r="A700" s="2">
        <v>44183</v>
      </c>
      <c r="B700" s="36">
        <v>25.159800000000001</v>
      </c>
      <c r="C700" s="36">
        <v>25.159800000000001</v>
      </c>
      <c r="D700" s="36">
        <v>25.159800000000001</v>
      </c>
      <c r="E700" s="36">
        <v>25.159800000000001</v>
      </c>
    </row>
    <row r="701" spans="1:5" x14ac:dyDescent="0.3">
      <c r="A701" s="1">
        <v>44184</v>
      </c>
      <c r="B701" s="37">
        <v>25.185400000000001</v>
      </c>
      <c r="C701" s="37">
        <v>25.185400000000001</v>
      </c>
      <c r="D701" s="37">
        <v>25.185400000000001</v>
      </c>
      <c r="E701" s="37">
        <v>25.185400000000001</v>
      </c>
    </row>
    <row r="702" spans="1:5" x14ac:dyDescent="0.3">
      <c r="A702" s="2">
        <v>44185</v>
      </c>
      <c r="B702" s="36">
        <v>25.210999999999999</v>
      </c>
      <c r="C702" s="36">
        <v>25.210999999999999</v>
      </c>
      <c r="D702" s="36">
        <v>25.210999999999999</v>
      </c>
      <c r="E702" s="36">
        <v>25.210999999999999</v>
      </c>
    </row>
    <row r="703" spans="1:5" x14ac:dyDescent="0.3">
      <c r="A703" s="1">
        <v>44186</v>
      </c>
      <c r="B703" s="37">
        <v>25.236599999999999</v>
      </c>
      <c r="C703" s="37">
        <v>25.236599999999999</v>
      </c>
      <c r="D703" s="37">
        <v>25.236599999999999</v>
      </c>
      <c r="E703" s="37">
        <v>25.236599999999999</v>
      </c>
    </row>
    <row r="704" spans="1:5" x14ac:dyDescent="0.3">
      <c r="A704" s="2">
        <v>44187</v>
      </c>
      <c r="B704" s="36">
        <v>25.2622</v>
      </c>
      <c r="C704" s="36">
        <v>25.2622</v>
      </c>
      <c r="D704" s="36">
        <v>25.2622</v>
      </c>
      <c r="E704" s="36">
        <v>25.2622</v>
      </c>
    </row>
    <row r="705" spans="1:5" x14ac:dyDescent="0.3">
      <c r="A705" s="1">
        <v>44188</v>
      </c>
      <c r="B705" s="37">
        <v>25.2879</v>
      </c>
      <c r="C705" s="37">
        <v>25.2879</v>
      </c>
      <c r="D705" s="37">
        <v>25.2879</v>
      </c>
      <c r="E705" s="37">
        <v>25.2879</v>
      </c>
    </row>
    <row r="706" spans="1:5" x14ac:dyDescent="0.3">
      <c r="A706" s="2">
        <v>44189</v>
      </c>
      <c r="B706" s="36">
        <v>25.313600000000001</v>
      </c>
      <c r="C706" s="36">
        <v>25.313600000000001</v>
      </c>
      <c r="D706" s="36">
        <v>25.313600000000001</v>
      </c>
      <c r="E706" s="36">
        <v>25.313600000000001</v>
      </c>
    </row>
    <row r="707" spans="1:5" x14ac:dyDescent="0.3">
      <c r="A707" s="1">
        <v>44190</v>
      </c>
      <c r="B707" s="37">
        <v>25.339400000000001</v>
      </c>
      <c r="C707" s="37">
        <v>25.339400000000001</v>
      </c>
      <c r="D707" s="37">
        <v>25.339400000000001</v>
      </c>
      <c r="E707" s="37">
        <v>25.339400000000001</v>
      </c>
    </row>
    <row r="708" spans="1:5" x14ac:dyDescent="0.3">
      <c r="A708" s="2">
        <v>44191</v>
      </c>
      <c r="B708" s="36">
        <v>25.365100000000002</v>
      </c>
      <c r="C708" s="36">
        <v>25.365100000000002</v>
      </c>
      <c r="D708" s="36">
        <v>25.365100000000002</v>
      </c>
      <c r="E708" s="36">
        <v>25.365100000000002</v>
      </c>
    </row>
    <row r="709" spans="1:5" x14ac:dyDescent="0.3">
      <c r="A709" s="1">
        <v>44192</v>
      </c>
      <c r="B709" s="37">
        <v>25.390899999999998</v>
      </c>
      <c r="C709" s="37">
        <v>25.390899999999998</v>
      </c>
      <c r="D709" s="37">
        <v>25.390899999999998</v>
      </c>
      <c r="E709" s="37">
        <v>25.390899999999998</v>
      </c>
    </row>
    <row r="710" spans="1:5" x14ac:dyDescent="0.3">
      <c r="A710" s="2">
        <v>44193</v>
      </c>
      <c r="B710" s="36">
        <v>25.416699999999999</v>
      </c>
      <c r="C710" s="36">
        <v>25.416699999999999</v>
      </c>
      <c r="D710" s="36">
        <v>25.416699999999999</v>
      </c>
      <c r="E710" s="36">
        <v>25.416699999999999</v>
      </c>
    </row>
    <row r="711" spans="1:5" x14ac:dyDescent="0.3">
      <c r="A711" s="1">
        <v>44194</v>
      </c>
      <c r="B711" s="37">
        <v>25.442599999999999</v>
      </c>
      <c r="C711" s="37">
        <v>25.442599999999999</v>
      </c>
      <c r="D711" s="37">
        <v>25.442599999999999</v>
      </c>
      <c r="E711" s="37">
        <v>25.442599999999999</v>
      </c>
    </row>
    <row r="712" spans="1:5" x14ac:dyDescent="0.3">
      <c r="A712" s="2">
        <v>44195</v>
      </c>
      <c r="B712" s="36">
        <v>25.468399999999999</v>
      </c>
      <c r="C712" s="36">
        <v>25.468399999999999</v>
      </c>
      <c r="D712" s="36">
        <v>25.468399999999999</v>
      </c>
      <c r="E712" s="36">
        <v>25.468399999999999</v>
      </c>
    </row>
    <row r="713" spans="1:5" x14ac:dyDescent="0.3">
      <c r="A713" s="1">
        <v>44196</v>
      </c>
      <c r="B713" s="37">
        <v>25.494299999999999</v>
      </c>
      <c r="C713" s="37">
        <v>25.494299999999999</v>
      </c>
      <c r="D713" s="37">
        <v>25.494299999999999</v>
      </c>
      <c r="E713" s="37">
        <v>25.494299999999999</v>
      </c>
    </row>
    <row r="714" spans="1:5" x14ac:dyDescent="0.3">
      <c r="A714" s="2">
        <v>44197</v>
      </c>
      <c r="B714" s="36">
        <v>25.520199999999999</v>
      </c>
      <c r="C714" s="36">
        <v>25.520199999999999</v>
      </c>
      <c r="D714" s="36">
        <v>25.520199999999999</v>
      </c>
      <c r="E714" s="36">
        <v>25.520199999999999</v>
      </c>
    </row>
    <row r="715" spans="1:5" x14ac:dyDescent="0.3">
      <c r="A715" s="1">
        <v>44198</v>
      </c>
      <c r="B715" s="37">
        <v>25.546199999999999</v>
      </c>
      <c r="C715" s="37">
        <v>25.546199999999999</v>
      </c>
      <c r="D715" s="37">
        <v>25.546199999999999</v>
      </c>
      <c r="E715" s="37">
        <v>25.546199999999999</v>
      </c>
    </row>
    <row r="716" spans="1:5" x14ac:dyDescent="0.3">
      <c r="A716" s="2">
        <v>44199</v>
      </c>
      <c r="B716" s="36">
        <v>25.572199999999999</v>
      </c>
      <c r="C716" s="36">
        <v>25.572199999999999</v>
      </c>
      <c r="D716" s="36">
        <v>25.572199999999999</v>
      </c>
      <c r="E716" s="36">
        <v>25.572199999999999</v>
      </c>
    </row>
    <row r="717" spans="1:5" x14ac:dyDescent="0.3">
      <c r="A717" s="1">
        <v>44200</v>
      </c>
      <c r="B717" s="37">
        <v>25.598199999999999</v>
      </c>
      <c r="C717" s="37">
        <v>25.598199999999999</v>
      </c>
      <c r="D717" s="37">
        <v>25.598199999999999</v>
      </c>
      <c r="E717" s="37">
        <v>25.598199999999999</v>
      </c>
    </row>
    <row r="718" spans="1:5" x14ac:dyDescent="0.3">
      <c r="A718" s="2">
        <v>44201</v>
      </c>
      <c r="B718" s="36">
        <v>25.624199999999998</v>
      </c>
      <c r="C718" s="36">
        <v>25.624199999999998</v>
      </c>
      <c r="D718" s="36">
        <v>25.624199999999998</v>
      </c>
      <c r="E718" s="36">
        <v>25.624199999999998</v>
      </c>
    </row>
    <row r="719" spans="1:5" x14ac:dyDescent="0.3">
      <c r="A719" s="1">
        <v>44202</v>
      </c>
      <c r="B719" s="37">
        <v>25.650200000000002</v>
      </c>
      <c r="C719" s="37">
        <v>25.650200000000002</v>
      </c>
      <c r="D719" s="37">
        <v>25.650200000000002</v>
      </c>
      <c r="E719" s="37">
        <v>25.650200000000002</v>
      </c>
    </row>
    <row r="720" spans="1:5" x14ac:dyDescent="0.3">
      <c r="A720" s="2">
        <v>44203</v>
      </c>
      <c r="B720" s="36">
        <v>25.676300000000001</v>
      </c>
      <c r="C720" s="36">
        <v>25.676300000000001</v>
      </c>
      <c r="D720" s="36">
        <v>25.676300000000001</v>
      </c>
      <c r="E720" s="36">
        <v>25.676300000000001</v>
      </c>
    </row>
    <row r="721" spans="1:5" x14ac:dyDescent="0.3">
      <c r="A721" s="1">
        <v>44204</v>
      </c>
      <c r="B721" s="37">
        <v>25.702400000000001</v>
      </c>
      <c r="C721" s="37">
        <v>25.702400000000001</v>
      </c>
      <c r="D721" s="37">
        <v>25.702400000000001</v>
      </c>
      <c r="E721" s="37">
        <v>25.702400000000001</v>
      </c>
    </row>
    <row r="722" spans="1:5" x14ac:dyDescent="0.3">
      <c r="A722" s="2">
        <v>44205</v>
      </c>
      <c r="B722" s="36">
        <v>25.7285</v>
      </c>
      <c r="C722" s="36">
        <v>25.7285</v>
      </c>
      <c r="D722" s="36">
        <v>25.7285</v>
      </c>
      <c r="E722" s="36">
        <v>25.7285</v>
      </c>
    </row>
    <row r="723" spans="1:5" x14ac:dyDescent="0.3">
      <c r="A723" s="1">
        <v>44206</v>
      </c>
      <c r="B723" s="37">
        <v>25.7547</v>
      </c>
      <c r="C723" s="37">
        <v>25.7547</v>
      </c>
      <c r="D723" s="37">
        <v>25.7547</v>
      </c>
      <c r="E723" s="37">
        <v>25.7547</v>
      </c>
    </row>
    <row r="724" spans="1:5" x14ac:dyDescent="0.3">
      <c r="A724" s="2">
        <v>44207</v>
      </c>
      <c r="B724" s="36">
        <v>25.780899999999999</v>
      </c>
      <c r="C724" s="36">
        <v>25.780899999999999</v>
      </c>
      <c r="D724" s="36">
        <v>25.780899999999999</v>
      </c>
      <c r="E724" s="36">
        <v>25.780899999999999</v>
      </c>
    </row>
    <row r="725" spans="1:5" x14ac:dyDescent="0.3">
      <c r="A725" s="1">
        <v>44208</v>
      </c>
      <c r="B725" s="37">
        <v>25.807099999999998</v>
      </c>
      <c r="C725" s="37">
        <v>25.807099999999998</v>
      </c>
      <c r="D725" s="37">
        <v>25.807099999999998</v>
      </c>
      <c r="E725" s="37">
        <v>25.807099999999998</v>
      </c>
    </row>
    <row r="726" spans="1:5" x14ac:dyDescent="0.3">
      <c r="A726" s="2">
        <v>44209</v>
      </c>
      <c r="B726" s="36">
        <v>25.833300000000001</v>
      </c>
      <c r="C726" s="36">
        <v>25.833300000000001</v>
      </c>
      <c r="D726" s="36">
        <v>25.833300000000001</v>
      </c>
      <c r="E726" s="36">
        <v>25.833300000000001</v>
      </c>
    </row>
    <row r="727" spans="1:5" x14ac:dyDescent="0.3">
      <c r="A727" s="1">
        <v>44210</v>
      </c>
      <c r="B727" s="37">
        <v>25.8596</v>
      </c>
      <c r="C727" s="37">
        <v>25.8596</v>
      </c>
      <c r="D727" s="37">
        <v>25.8596</v>
      </c>
      <c r="E727" s="37">
        <v>25.8596</v>
      </c>
    </row>
    <row r="728" spans="1:5" x14ac:dyDescent="0.3">
      <c r="A728" s="2">
        <v>44211</v>
      </c>
      <c r="B728" s="36">
        <v>25.885899999999999</v>
      </c>
      <c r="C728" s="36">
        <v>25.885899999999999</v>
      </c>
      <c r="D728" s="36">
        <v>25.885899999999999</v>
      </c>
      <c r="E728" s="36">
        <v>25.885899999999999</v>
      </c>
    </row>
    <row r="729" spans="1:5" x14ac:dyDescent="0.3">
      <c r="A729" s="1">
        <v>44212</v>
      </c>
      <c r="B729" s="37">
        <v>25.918600000000001</v>
      </c>
      <c r="C729" s="37">
        <v>25.918600000000001</v>
      </c>
      <c r="D729" s="37">
        <v>25.918600000000001</v>
      </c>
      <c r="E729" s="37">
        <v>25.918600000000001</v>
      </c>
    </row>
    <row r="730" spans="1:5" x14ac:dyDescent="0.3">
      <c r="A730" s="2">
        <v>44213</v>
      </c>
      <c r="B730" s="36">
        <v>25.951499999999999</v>
      </c>
      <c r="C730" s="36">
        <v>25.951499999999999</v>
      </c>
      <c r="D730" s="36">
        <v>25.951499999999999</v>
      </c>
      <c r="E730" s="36">
        <v>25.951499999999999</v>
      </c>
    </row>
    <row r="731" spans="1:5" x14ac:dyDescent="0.3">
      <c r="A731" s="1">
        <v>44214</v>
      </c>
      <c r="B731" s="37">
        <v>25.984300000000001</v>
      </c>
      <c r="C731" s="37">
        <v>25.984300000000001</v>
      </c>
      <c r="D731" s="37">
        <v>25.984300000000001</v>
      </c>
      <c r="E731" s="37">
        <v>25.984300000000001</v>
      </c>
    </row>
    <row r="732" spans="1:5" x14ac:dyDescent="0.3">
      <c r="A732" s="2">
        <v>44215</v>
      </c>
      <c r="B732" s="36">
        <v>26.017199999999999</v>
      </c>
      <c r="C732" s="36">
        <v>26.017199999999999</v>
      </c>
      <c r="D732" s="36">
        <v>26.017199999999999</v>
      </c>
      <c r="E732" s="36">
        <v>26.017199999999999</v>
      </c>
    </row>
    <row r="733" spans="1:5" x14ac:dyDescent="0.3">
      <c r="A733" s="1">
        <v>44216</v>
      </c>
      <c r="B733" s="37">
        <v>26.0501</v>
      </c>
      <c r="C733" s="37">
        <v>26.0501</v>
      </c>
      <c r="D733" s="37">
        <v>26.0501</v>
      </c>
      <c r="E733" s="37">
        <v>26.0501</v>
      </c>
    </row>
    <row r="734" spans="1:5" x14ac:dyDescent="0.3">
      <c r="A734" s="2">
        <v>44217</v>
      </c>
      <c r="B734" s="36">
        <v>26.083100000000002</v>
      </c>
      <c r="C734" s="36">
        <v>26.083100000000002</v>
      </c>
      <c r="D734" s="36">
        <v>26.083100000000002</v>
      </c>
      <c r="E734" s="36">
        <v>26.083100000000002</v>
      </c>
    </row>
    <row r="735" spans="1:5" x14ac:dyDescent="0.3">
      <c r="A735" s="1">
        <v>44218</v>
      </c>
      <c r="B735" s="37">
        <v>26.116099999999999</v>
      </c>
      <c r="C735" s="37">
        <v>26.116099999999999</v>
      </c>
      <c r="D735" s="37">
        <v>26.116099999999999</v>
      </c>
      <c r="E735" s="37">
        <v>26.116099999999999</v>
      </c>
    </row>
    <row r="736" spans="1:5" x14ac:dyDescent="0.3">
      <c r="A736" s="2">
        <v>44219</v>
      </c>
      <c r="B736" s="36">
        <v>26.1492</v>
      </c>
      <c r="C736" s="36">
        <v>26.1492</v>
      </c>
      <c r="D736" s="36">
        <v>26.1492</v>
      </c>
      <c r="E736" s="36">
        <v>26.1492</v>
      </c>
    </row>
    <row r="737" spans="1:5" x14ac:dyDescent="0.3">
      <c r="A737" s="1">
        <v>44220</v>
      </c>
      <c r="B737" s="37">
        <v>26.182300000000001</v>
      </c>
      <c r="C737" s="37">
        <v>26.182300000000001</v>
      </c>
      <c r="D737" s="37">
        <v>26.182300000000001</v>
      </c>
      <c r="E737" s="37">
        <v>26.182300000000001</v>
      </c>
    </row>
    <row r="738" spans="1:5" x14ac:dyDescent="0.3">
      <c r="A738" s="2">
        <v>44221</v>
      </c>
      <c r="B738" s="36">
        <v>26.215499999999999</v>
      </c>
      <c r="C738" s="36">
        <v>26.215499999999999</v>
      </c>
      <c r="D738" s="36">
        <v>26.215499999999999</v>
      </c>
      <c r="E738" s="36">
        <v>26.215499999999999</v>
      </c>
    </row>
    <row r="739" spans="1:5" x14ac:dyDescent="0.3">
      <c r="A739" s="1">
        <v>44222</v>
      </c>
      <c r="B739" s="37">
        <v>26.2486</v>
      </c>
      <c r="C739" s="37">
        <v>26.2486</v>
      </c>
      <c r="D739" s="37">
        <v>26.2486</v>
      </c>
      <c r="E739" s="37">
        <v>26.2486</v>
      </c>
    </row>
    <row r="740" spans="1:5" x14ac:dyDescent="0.3">
      <c r="A740" s="2">
        <v>44223</v>
      </c>
      <c r="B740" s="36">
        <v>26.2819</v>
      </c>
      <c r="C740" s="36">
        <v>26.2819</v>
      </c>
      <c r="D740" s="36">
        <v>26.2819</v>
      </c>
      <c r="E740" s="36">
        <v>26.2819</v>
      </c>
    </row>
    <row r="741" spans="1:5" x14ac:dyDescent="0.3">
      <c r="A741" s="1">
        <v>44224</v>
      </c>
      <c r="B741" s="37">
        <v>26.315100000000001</v>
      </c>
      <c r="C741" s="37">
        <v>26.315100000000001</v>
      </c>
      <c r="D741" s="37">
        <v>26.315100000000001</v>
      </c>
      <c r="E741" s="37">
        <v>26.315100000000001</v>
      </c>
    </row>
    <row r="742" spans="1:5" x14ac:dyDescent="0.3">
      <c r="A742" s="2">
        <v>44225</v>
      </c>
      <c r="B742" s="36">
        <v>26.348500000000001</v>
      </c>
      <c r="C742" s="36">
        <v>26.348500000000001</v>
      </c>
      <c r="D742" s="36">
        <v>26.348500000000001</v>
      </c>
      <c r="E742" s="36">
        <v>26.348500000000001</v>
      </c>
    </row>
    <row r="743" spans="1:5" x14ac:dyDescent="0.3">
      <c r="A743" s="1">
        <v>44226</v>
      </c>
      <c r="B743" s="37">
        <v>26.381799999999998</v>
      </c>
      <c r="C743" s="37">
        <v>26.381799999999998</v>
      </c>
      <c r="D743" s="37">
        <v>26.381799999999998</v>
      </c>
      <c r="E743" s="37">
        <v>26.381799999999998</v>
      </c>
    </row>
    <row r="744" spans="1:5" x14ac:dyDescent="0.3">
      <c r="A744" s="2">
        <v>44227</v>
      </c>
      <c r="B744" s="36">
        <v>26.415199999999999</v>
      </c>
      <c r="C744" s="36">
        <v>26.415199999999999</v>
      </c>
      <c r="D744" s="36">
        <v>26.415199999999999</v>
      </c>
      <c r="E744" s="36">
        <v>26.415199999999999</v>
      </c>
    </row>
    <row r="745" spans="1:5" x14ac:dyDescent="0.3">
      <c r="A745" s="1">
        <v>44228</v>
      </c>
      <c r="B745" s="37">
        <v>26.448699999999999</v>
      </c>
      <c r="C745" s="37">
        <v>26.448699999999999</v>
      </c>
      <c r="D745" s="37">
        <v>26.448699999999999</v>
      </c>
      <c r="E745" s="37">
        <v>26.448699999999999</v>
      </c>
    </row>
    <row r="746" spans="1:5" x14ac:dyDescent="0.3">
      <c r="A746" s="2">
        <v>44229</v>
      </c>
      <c r="B746" s="36">
        <v>26.482099999999999</v>
      </c>
      <c r="C746" s="36">
        <v>26.482099999999999</v>
      </c>
      <c r="D746" s="36">
        <v>26.482099999999999</v>
      </c>
      <c r="E746" s="36">
        <v>26.482099999999999</v>
      </c>
    </row>
    <row r="747" spans="1:5" x14ac:dyDescent="0.3">
      <c r="A747" s="1">
        <v>44230</v>
      </c>
      <c r="B747" s="37">
        <v>26.515699999999999</v>
      </c>
      <c r="C747" s="37">
        <v>26.515699999999999</v>
      </c>
      <c r="D747" s="37">
        <v>26.515699999999999</v>
      </c>
      <c r="E747" s="37">
        <v>26.515699999999999</v>
      </c>
    </row>
    <row r="748" spans="1:5" x14ac:dyDescent="0.3">
      <c r="A748" s="2">
        <v>44231</v>
      </c>
      <c r="B748" s="36">
        <v>26.549199999999999</v>
      </c>
      <c r="C748" s="36">
        <v>26.549199999999999</v>
      </c>
      <c r="D748" s="36">
        <v>26.549199999999999</v>
      </c>
      <c r="E748" s="36">
        <v>26.549199999999999</v>
      </c>
    </row>
    <row r="749" spans="1:5" x14ac:dyDescent="0.3">
      <c r="A749" s="1">
        <v>44232</v>
      </c>
      <c r="B749" s="37">
        <v>26.582799999999999</v>
      </c>
      <c r="C749" s="37">
        <v>26.582799999999999</v>
      </c>
      <c r="D749" s="37">
        <v>26.582799999999999</v>
      </c>
      <c r="E749" s="37">
        <v>26.582799999999999</v>
      </c>
    </row>
    <row r="750" spans="1:5" x14ac:dyDescent="0.3">
      <c r="A750" s="2">
        <v>44233</v>
      </c>
      <c r="B750" s="36">
        <v>26.616499999999998</v>
      </c>
      <c r="C750" s="36">
        <v>26.616499999999998</v>
      </c>
      <c r="D750" s="36">
        <v>26.616499999999998</v>
      </c>
      <c r="E750" s="36">
        <v>26.616499999999998</v>
      </c>
    </row>
    <row r="751" spans="1:5" x14ac:dyDescent="0.3">
      <c r="A751" s="1">
        <v>44234</v>
      </c>
      <c r="B751" s="37">
        <v>26.650200000000002</v>
      </c>
      <c r="C751" s="37">
        <v>26.650200000000002</v>
      </c>
      <c r="D751" s="37">
        <v>26.650200000000002</v>
      </c>
      <c r="E751" s="37">
        <v>26.650200000000002</v>
      </c>
    </row>
    <row r="752" spans="1:5" x14ac:dyDescent="0.3">
      <c r="A752" s="2">
        <v>44235</v>
      </c>
      <c r="B752" s="36">
        <v>26.683900000000001</v>
      </c>
      <c r="C752" s="36">
        <v>26.683900000000001</v>
      </c>
      <c r="D752" s="36">
        <v>26.683900000000001</v>
      </c>
      <c r="E752" s="36">
        <v>26.683900000000001</v>
      </c>
    </row>
    <row r="753" spans="1:5" x14ac:dyDescent="0.3">
      <c r="A753" s="1">
        <v>44236</v>
      </c>
      <c r="B753" s="37">
        <v>26.717700000000001</v>
      </c>
      <c r="C753" s="37">
        <v>26.717700000000001</v>
      </c>
      <c r="D753" s="37">
        <v>26.717700000000001</v>
      </c>
      <c r="E753" s="37">
        <v>26.717700000000001</v>
      </c>
    </row>
    <row r="754" spans="1:5" x14ac:dyDescent="0.3">
      <c r="A754" s="2">
        <v>44237</v>
      </c>
      <c r="B754" s="36">
        <v>26.7515</v>
      </c>
      <c r="C754" s="36">
        <v>26.7515</v>
      </c>
      <c r="D754" s="36">
        <v>26.7515</v>
      </c>
      <c r="E754" s="36">
        <v>26.7515</v>
      </c>
    </row>
    <row r="755" spans="1:5" x14ac:dyDescent="0.3">
      <c r="A755" s="1">
        <v>44238</v>
      </c>
      <c r="B755" s="37">
        <v>26.785399999999999</v>
      </c>
      <c r="C755" s="37">
        <v>26.785399999999999</v>
      </c>
      <c r="D755" s="37">
        <v>26.785399999999999</v>
      </c>
      <c r="E755" s="37">
        <v>26.785399999999999</v>
      </c>
    </row>
    <row r="756" spans="1:5" x14ac:dyDescent="0.3">
      <c r="A756" s="2">
        <v>44239</v>
      </c>
      <c r="B756" s="36">
        <v>26.819299999999998</v>
      </c>
      <c r="C756" s="36">
        <v>26.819299999999998</v>
      </c>
      <c r="D756" s="36">
        <v>26.819299999999998</v>
      </c>
      <c r="E756" s="36">
        <v>26.819299999999998</v>
      </c>
    </row>
    <row r="757" spans="1:5" x14ac:dyDescent="0.3">
      <c r="A757" s="1">
        <v>44240</v>
      </c>
      <c r="B757" s="37">
        <v>26.853300000000001</v>
      </c>
      <c r="C757" s="37">
        <v>26.853300000000001</v>
      </c>
      <c r="D757" s="37">
        <v>26.853300000000001</v>
      </c>
      <c r="E757" s="37">
        <v>26.853300000000001</v>
      </c>
    </row>
    <row r="758" spans="1:5" x14ac:dyDescent="0.3">
      <c r="A758" s="2">
        <v>44241</v>
      </c>
      <c r="B758" s="36">
        <v>26.8873</v>
      </c>
      <c r="C758" s="36">
        <v>26.8873</v>
      </c>
      <c r="D758" s="36">
        <v>26.8873</v>
      </c>
      <c r="E758" s="36">
        <v>26.8873</v>
      </c>
    </row>
    <row r="759" spans="1:5" x14ac:dyDescent="0.3">
      <c r="A759" s="1">
        <v>44242</v>
      </c>
      <c r="B759" s="37">
        <v>26.921299999999999</v>
      </c>
      <c r="C759" s="37">
        <v>26.921299999999999</v>
      </c>
      <c r="D759" s="37">
        <v>26.921299999999999</v>
      </c>
      <c r="E759" s="37">
        <v>26.921299999999999</v>
      </c>
    </row>
    <row r="760" spans="1:5" x14ac:dyDescent="0.3">
      <c r="A760" s="2">
        <v>44243</v>
      </c>
      <c r="B760" s="36">
        <v>26.959</v>
      </c>
      <c r="C760" s="36">
        <v>26.959</v>
      </c>
      <c r="D760" s="36">
        <v>26.959</v>
      </c>
      <c r="E760" s="36">
        <v>26.959</v>
      </c>
    </row>
    <row r="761" spans="1:5" x14ac:dyDescent="0.3">
      <c r="A761" s="1">
        <v>44244</v>
      </c>
      <c r="B761" s="37">
        <v>26.9968</v>
      </c>
      <c r="C761" s="37">
        <v>26.9968</v>
      </c>
      <c r="D761" s="37">
        <v>26.9968</v>
      </c>
      <c r="E761" s="37">
        <v>26.9968</v>
      </c>
    </row>
    <row r="762" spans="1:5" x14ac:dyDescent="0.3">
      <c r="A762" s="2">
        <v>44245</v>
      </c>
      <c r="B762" s="36">
        <v>27.034700000000001</v>
      </c>
      <c r="C762" s="36">
        <v>27.034700000000001</v>
      </c>
      <c r="D762" s="36">
        <v>27.034700000000001</v>
      </c>
      <c r="E762" s="36">
        <v>27.034700000000001</v>
      </c>
    </row>
    <row r="763" spans="1:5" x14ac:dyDescent="0.3">
      <c r="A763" s="1">
        <v>44246</v>
      </c>
      <c r="B763" s="37">
        <v>27.072600000000001</v>
      </c>
      <c r="C763" s="37">
        <v>27.072600000000001</v>
      </c>
      <c r="D763" s="37">
        <v>27.072600000000001</v>
      </c>
      <c r="E763" s="37">
        <v>27.072600000000001</v>
      </c>
    </row>
    <row r="764" spans="1:5" x14ac:dyDescent="0.3">
      <c r="A764" s="2">
        <v>44247</v>
      </c>
      <c r="B764" s="36">
        <v>27.110499999999998</v>
      </c>
      <c r="C764" s="36">
        <v>27.110499999999998</v>
      </c>
      <c r="D764" s="36">
        <v>27.110499999999998</v>
      </c>
      <c r="E764" s="36">
        <v>27.110499999999998</v>
      </c>
    </row>
    <row r="765" spans="1:5" x14ac:dyDescent="0.3">
      <c r="A765" s="1">
        <v>44248</v>
      </c>
      <c r="B765" s="37">
        <v>27.148499999999999</v>
      </c>
      <c r="C765" s="37">
        <v>27.148499999999999</v>
      </c>
      <c r="D765" s="37">
        <v>27.148499999999999</v>
      </c>
      <c r="E765" s="37">
        <v>27.148499999999999</v>
      </c>
    </row>
    <row r="766" spans="1:5" x14ac:dyDescent="0.3">
      <c r="A766" s="2">
        <v>44249</v>
      </c>
      <c r="B766" s="36">
        <v>27.186599999999999</v>
      </c>
      <c r="C766" s="36">
        <v>27.186599999999999</v>
      </c>
      <c r="D766" s="36">
        <v>27.186599999999999</v>
      </c>
      <c r="E766" s="36">
        <v>27.186599999999999</v>
      </c>
    </row>
    <row r="767" spans="1:5" x14ac:dyDescent="0.3">
      <c r="A767" s="1">
        <v>44250</v>
      </c>
      <c r="B767" s="37">
        <v>27.224699999999999</v>
      </c>
      <c r="C767" s="37">
        <v>27.224699999999999</v>
      </c>
      <c r="D767" s="37">
        <v>27.224699999999999</v>
      </c>
      <c r="E767" s="37">
        <v>27.224699999999999</v>
      </c>
    </row>
    <row r="768" spans="1:5" x14ac:dyDescent="0.3">
      <c r="A768" s="2">
        <v>44251</v>
      </c>
      <c r="B768" s="36">
        <v>27.262799999999999</v>
      </c>
      <c r="C768" s="36">
        <v>27.262799999999999</v>
      </c>
      <c r="D768" s="36">
        <v>27.262799999999999</v>
      </c>
      <c r="E768" s="36">
        <v>27.262799999999999</v>
      </c>
    </row>
    <row r="769" spans="1:5" x14ac:dyDescent="0.3">
      <c r="A769" s="1">
        <v>44252</v>
      </c>
      <c r="B769" s="37">
        <v>27.301100000000002</v>
      </c>
      <c r="C769" s="37">
        <v>27.301100000000002</v>
      </c>
      <c r="D769" s="37">
        <v>27.301100000000002</v>
      </c>
      <c r="E769" s="37">
        <v>27.301100000000002</v>
      </c>
    </row>
    <row r="770" spans="1:5" x14ac:dyDescent="0.3">
      <c r="A770" s="2">
        <v>44253</v>
      </c>
      <c r="B770" s="36">
        <v>27.339300000000001</v>
      </c>
      <c r="C770" s="36">
        <v>27.339300000000001</v>
      </c>
      <c r="D770" s="36">
        <v>27.339300000000001</v>
      </c>
      <c r="E770" s="36">
        <v>27.339300000000001</v>
      </c>
    </row>
    <row r="771" spans="1:5" x14ac:dyDescent="0.3">
      <c r="A771" s="1">
        <v>44254</v>
      </c>
      <c r="B771" s="37">
        <v>27.377600000000001</v>
      </c>
      <c r="C771" s="37">
        <v>27.377600000000001</v>
      </c>
      <c r="D771" s="37">
        <v>27.377600000000001</v>
      </c>
      <c r="E771" s="37">
        <v>27.377600000000001</v>
      </c>
    </row>
    <row r="772" spans="1:5" x14ac:dyDescent="0.3">
      <c r="A772" s="2">
        <v>44255</v>
      </c>
      <c r="B772" s="36">
        <v>27.416</v>
      </c>
      <c r="C772" s="36">
        <v>27.416</v>
      </c>
      <c r="D772" s="36">
        <v>27.416</v>
      </c>
      <c r="E772" s="36">
        <v>27.416</v>
      </c>
    </row>
    <row r="773" spans="1:5" x14ac:dyDescent="0.3">
      <c r="A773" s="1">
        <v>44256</v>
      </c>
      <c r="B773" s="37">
        <v>27.4544</v>
      </c>
      <c r="C773" s="37">
        <v>27.4544</v>
      </c>
      <c r="D773" s="37">
        <v>27.4544</v>
      </c>
      <c r="E773" s="37">
        <v>27.4544</v>
      </c>
    </row>
    <row r="774" spans="1:5" x14ac:dyDescent="0.3">
      <c r="A774" s="2">
        <v>44257</v>
      </c>
      <c r="B774" s="36">
        <v>27.492899999999999</v>
      </c>
      <c r="C774" s="36">
        <v>27.492899999999999</v>
      </c>
      <c r="D774" s="36">
        <v>27.492899999999999</v>
      </c>
      <c r="E774" s="36">
        <v>27.492899999999999</v>
      </c>
    </row>
    <row r="775" spans="1:5" x14ac:dyDescent="0.3">
      <c r="A775" s="1">
        <v>44258</v>
      </c>
      <c r="B775" s="37">
        <v>27.531500000000001</v>
      </c>
      <c r="C775" s="37">
        <v>27.531500000000001</v>
      </c>
      <c r="D775" s="37">
        <v>27.531500000000001</v>
      </c>
      <c r="E775" s="37">
        <v>27.531500000000001</v>
      </c>
    </row>
    <row r="776" spans="1:5" x14ac:dyDescent="0.3">
      <c r="A776" s="2">
        <v>44259</v>
      </c>
      <c r="B776" s="36">
        <v>27.5701</v>
      </c>
      <c r="C776" s="36">
        <v>27.5701</v>
      </c>
      <c r="D776" s="36">
        <v>27.5701</v>
      </c>
      <c r="E776" s="36">
        <v>27.5701</v>
      </c>
    </row>
    <row r="777" spans="1:5" x14ac:dyDescent="0.3">
      <c r="A777" s="1">
        <v>44260</v>
      </c>
      <c r="B777" s="37">
        <v>27.608699999999999</v>
      </c>
      <c r="C777" s="37">
        <v>27.608699999999999</v>
      </c>
      <c r="D777" s="37">
        <v>27.608699999999999</v>
      </c>
      <c r="E777" s="37">
        <v>27.608699999999999</v>
      </c>
    </row>
    <row r="778" spans="1:5" x14ac:dyDescent="0.3">
      <c r="A778" s="2">
        <v>44261</v>
      </c>
      <c r="B778" s="36">
        <v>27.647400000000001</v>
      </c>
      <c r="C778" s="36">
        <v>27.647400000000001</v>
      </c>
      <c r="D778" s="36">
        <v>27.647400000000001</v>
      </c>
      <c r="E778" s="36">
        <v>27.647400000000001</v>
      </c>
    </row>
    <row r="779" spans="1:5" x14ac:dyDescent="0.3">
      <c r="A779" s="1">
        <v>44262</v>
      </c>
      <c r="B779" s="37">
        <v>27.686199999999999</v>
      </c>
      <c r="C779" s="37">
        <v>27.686199999999999</v>
      </c>
      <c r="D779" s="37">
        <v>27.686199999999999</v>
      </c>
      <c r="E779" s="37">
        <v>27.686199999999999</v>
      </c>
    </row>
    <row r="780" spans="1:5" x14ac:dyDescent="0.3">
      <c r="A780" s="2">
        <v>44263</v>
      </c>
      <c r="B780" s="36">
        <v>27.725000000000001</v>
      </c>
      <c r="C780" s="36">
        <v>27.725000000000001</v>
      </c>
      <c r="D780" s="36">
        <v>27.725000000000001</v>
      </c>
      <c r="E780" s="36">
        <v>27.725000000000001</v>
      </c>
    </row>
    <row r="781" spans="1:5" x14ac:dyDescent="0.3">
      <c r="A781" s="1">
        <v>44264</v>
      </c>
      <c r="B781" s="37">
        <v>27.7638</v>
      </c>
      <c r="C781" s="37">
        <v>27.7638</v>
      </c>
      <c r="D781" s="37">
        <v>27.7638</v>
      </c>
      <c r="E781" s="37">
        <v>27.7638</v>
      </c>
    </row>
    <row r="782" spans="1:5" x14ac:dyDescent="0.3">
      <c r="A782" s="2">
        <v>44265</v>
      </c>
      <c r="B782" s="36">
        <v>27.802700000000002</v>
      </c>
      <c r="C782" s="36">
        <v>27.802700000000002</v>
      </c>
      <c r="D782" s="36">
        <v>27.802700000000002</v>
      </c>
      <c r="E782" s="36">
        <v>27.802700000000002</v>
      </c>
    </row>
    <row r="783" spans="1:5" x14ac:dyDescent="0.3">
      <c r="A783" s="1">
        <v>44266</v>
      </c>
      <c r="B783" s="37">
        <v>27.841699999999999</v>
      </c>
      <c r="C783" s="37">
        <v>27.841699999999999</v>
      </c>
      <c r="D783" s="37">
        <v>27.841699999999999</v>
      </c>
      <c r="E783" s="37">
        <v>27.841699999999999</v>
      </c>
    </row>
    <row r="784" spans="1:5" x14ac:dyDescent="0.3">
      <c r="A784" s="2">
        <v>44267</v>
      </c>
      <c r="B784" s="36">
        <v>27.880700000000001</v>
      </c>
      <c r="C784" s="36">
        <v>27.880700000000001</v>
      </c>
      <c r="D784" s="36">
        <v>27.880700000000001</v>
      </c>
      <c r="E784" s="36">
        <v>27.880700000000001</v>
      </c>
    </row>
    <row r="785" spans="1:5" x14ac:dyDescent="0.3">
      <c r="A785" s="1">
        <v>44268</v>
      </c>
      <c r="B785" s="37">
        <v>27.919799999999999</v>
      </c>
      <c r="C785" s="37">
        <v>27.919799999999999</v>
      </c>
      <c r="D785" s="37">
        <v>27.919799999999999</v>
      </c>
      <c r="E785" s="37">
        <v>27.919799999999999</v>
      </c>
    </row>
    <row r="786" spans="1:5" x14ac:dyDescent="0.3">
      <c r="A786" s="2">
        <v>44269</v>
      </c>
      <c r="B786" s="36">
        <v>27.959</v>
      </c>
      <c r="C786" s="36">
        <v>27.959</v>
      </c>
      <c r="D786" s="36">
        <v>27.959</v>
      </c>
      <c r="E786" s="36">
        <v>27.959</v>
      </c>
    </row>
    <row r="787" spans="1:5" x14ac:dyDescent="0.3">
      <c r="A787" s="1">
        <v>44270</v>
      </c>
      <c r="B787" s="37">
        <v>27.998200000000001</v>
      </c>
      <c r="C787" s="37">
        <v>27.998200000000001</v>
      </c>
      <c r="D787" s="37">
        <v>27.998200000000001</v>
      </c>
      <c r="E787" s="37">
        <v>27.998200000000001</v>
      </c>
    </row>
    <row r="788" spans="1:5" x14ac:dyDescent="0.3">
      <c r="A788" s="2">
        <v>44271</v>
      </c>
      <c r="B788" s="36">
        <v>28.030100000000001</v>
      </c>
      <c r="C788" s="36">
        <v>28.030100000000001</v>
      </c>
      <c r="D788" s="36">
        <v>28.030100000000001</v>
      </c>
      <c r="E788" s="36">
        <v>28.030100000000001</v>
      </c>
    </row>
    <row r="789" spans="1:5" x14ac:dyDescent="0.3">
      <c r="A789" s="1">
        <v>44272</v>
      </c>
      <c r="B789" s="37">
        <v>28.062100000000001</v>
      </c>
      <c r="C789" s="37">
        <v>28.062100000000001</v>
      </c>
      <c r="D789" s="37">
        <v>28.062100000000001</v>
      </c>
      <c r="E789" s="37">
        <v>28.062100000000001</v>
      </c>
    </row>
    <row r="790" spans="1:5" x14ac:dyDescent="0.3">
      <c r="A790" s="2">
        <v>44273</v>
      </c>
      <c r="B790" s="36">
        <v>28.094100000000001</v>
      </c>
      <c r="C790" s="36">
        <v>28.094100000000001</v>
      </c>
      <c r="D790" s="36">
        <v>28.094100000000001</v>
      </c>
      <c r="E790" s="36">
        <v>28.094100000000001</v>
      </c>
    </row>
    <row r="791" spans="1:5" x14ac:dyDescent="0.3">
      <c r="A791" s="1">
        <v>44274</v>
      </c>
      <c r="B791" s="37">
        <v>28.126200000000001</v>
      </c>
      <c r="C791" s="37">
        <v>28.126200000000001</v>
      </c>
      <c r="D791" s="37">
        <v>28.126200000000001</v>
      </c>
      <c r="E791" s="37">
        <v>28.126200000000001</v>
      </c>
    </row>
    <row r="792" spans="1:5" x14ac:dyDescent="0.3">
      <c r="A792" s="2">
        <v>44275</v>
      </c>
      <c r="B792" s="36">
        <v>28.158300000000001</v>
      </c>
      <c r="C792" s="36">
        <v>28.158300000000001</v>
      </c>
      <c r="D792" s="36">
        <v>28.158300000000001</v>
      </c>
      <c r="E792" s="36">
        <v>28.158300000000001</v>
      </c>
    </row>
    <row r="793" spans="1:5" x14ac:dyDescent="0.3">
      <c r="A793" s="1">
        <v>44276</v>
      </c>
      <c r="B793" s="37">
        <v>28.1905</v>
      </c>
      <c r="C793" s="37">
        <v>28.1905</v>
      </c>
      <c r="D793" s="37">
        <v>28.1905</v>
      </c>
      <c r="E793" s="37">
        <v>28.1905</v>
      </c>
    </row>
    <row r="794" spans="1:5" x14ac:dyDescent="0.3">
      <c r="A794" s="2">
        <v>44277</v>
      </c>
      <c r="B794" s="36">
        <v>28.2226</v>
      </c>
      <c r="C794" s="36">
        <v>28.2226</v>
      </c>
      <c r="D794" s="36">
        <v>28.2226</v>
      </c>
      <c r="E794" s="36">
        <v>28.2226</v>
      </c>
    </row>
    <row r="795" spans="1:5" x14ac:dyDescent="0.3">
      <c r="A795" s="1">
        <v>44278</v>
      </c>
      <c r="B795" s="37">
        <v>28.254899999999999</v>
      </c>
      <c r="C795" s="37">
        <v>28.254899999999999</v>
      </c>
      <c r="D795" s="37">
        <v>28.254899999999999</v>
      </c>
      <c r="E795" s="37">
        <v>28.254899999999999</v>
      </c>
    </row>
    <row r="796" spans="1:5" x14ac:dyDescent="0.3">
      <c r="A796" s="2">
        <v>44279</v>
      </c>
      <c r="B796" s="36">
        <v>28.287099999999999</v>
      </c>
      <c r="C796" s="36">
        <v>28.287099999999999</v>
      </c>
      <c r="D796" s="36">
        <v>28.287099999999999</v>
      </c>
      <c r="E796" s="36">
        <v>28.287099999999999</v>
      </c>
    </row>
    <row r="797" spans="1:5" x14ac:dyDescent="0.3">
      <c r="A797" s="1">
        <v>44280</v>
      </c>
      <c r="B797" s="37">
        <v>28.319400000000002</v>
      </c>
      <c r="C797" s="37">
        <v>28.319400000000002</v>
      </c>
      <c r="D797" s="37">
        <v>28.319400000000002</v>
      </c>
      <c r="E797" s="37">
        <v>28.319400000000002</v>
      </c>
    </row>
    <row r="798" spans="1:5" x14ac:dyDescent="0.3">
      <c r="A798" s="2">
        <v>44281</v>
      </c>
      <c r="B798" s="36">
        <v>28.351700000000001</v>
      </c>
      <c r="C798" s="36">
        <v>28.351700000000001</v>
      </c>
      <c r="D798" s="36">
        <v>28.351700000000001</v>
      </c>
      <c r="E798" s="36">
        <v>28.351700000000001</v>
      </c>
    </row>
    <row r="799" spans="1:5" x14ac:dyDescent="0.3">
      <c r="A799" s="1">
        <v>44282</v>
      </c>
      <c r="B799" s="37">
        <v>28.3841</v>
      </c>
      <c r="C799" s="37">
        <v>28.3841</v>
      </c>
      <c r="D799" s="37">
        <v>28.3841</v>
      </c>
      <c r="E799" s="37">
        <v>28.3841</v>
      </c>
    </row>
    <row r="800" spans="1:5" x14ac:dyDescent="0.3">
      <c r="A800" s="2">
        <v>44283</v>
      </c>
      <c r="B800" s="36">
        <v>28.416499999999999</v>
      </c>
      <c r="C800" s="36">
        <v>28.416499999999999</v>
      </c>
      <c r="D800" s="36">
        <v>28.416499999999999</v>
      </c>
      <c r="E800" s="36">
        <v>28.416499999999999</v>
      </c>
    </row>
    <row r="801" spans="1:5" x14ac:dyDescent="0.3">
      <c r="A801" s="1">
        <v>44284</v>
      </c>
      <c r="B801" s="37">
        <v>28.448899999999998</v>
      </c>
      <c r="C801" s="37">
        <v>28.448899999999998</v>
      </c>
      <c r="D801" s="37">
        <v>28.448899999999998</v>
      </c>
      <c r="E801" s="37">
        <v>28.448899999999998</v>
      </c>
    </row>
    <row r="802" spans="1:5" x14ac:dyDescent="0.3">
      <c r="A802" s="2">
        <v>44285</v>
      </c>
      <c r="B802" s="36">
        <v>28.481400000000001</v>
      </c>
      <c r="C802" s="36">
        <v>28.481400000000001</v>
      </c>
      <c r="D802" s="36">
        <v>28.481400000000001</v>
      </c>
      <c r="E802" s="36">
        <v>28.481400000000001</v>
      </c>
    </row>
    <row r="803" spans="1:5" x14ac:dyDescent="0.3">
      <c r="A803" s="1">
        <v>44286</v>
      </c>
      <c r="B803" s="37">
        <v>28.5139</v>
      </c>
      <c r="C803" s="37">
        <v>28.5139</v>
      </c>
      <c r="D803" s="37">
        <v>28.5139</v>
      </c>
      <c r="E803" s="37">
        <v>28.5139</v>
      </c>
    </row>
    <row r="804" spans="1:5" x14ac:dyDescent="0.3">
      <c r="A804" s="2">
        <v>44287</v>
      </c>
      <c r="B804" s="36">
        <v>28.546500000000002</v>
      </c>
      <c r="C804" s="36">
        <v>28.546500000000002</v>
      </c>
      <c r="D804" s="36">
        <v>28.546500000000002</v>
      </c>
      <c r="E804" s="36">
        <v>28.546500000000002</v>
      </c>
    </row>
    <row r="805" spans="1:5" x14ac:dyDescent="0.3">
      <c r="A805" s="1">
        <v>44288</v>
      </c>
      <c r="B805" s="37">
        <v>28.5791</v>
      </c>
      <c r="C805" s="37">
        <v>28.5791</v>
      </c>
      <c r="D805" s="37">
        <v>28.5791</v>
      </c>
      <c r="E805" s="37">
        <v>28.5791</v>
      </c>
    </row>
    <row r="806" spans="1:5" x14ac:dyDescent="0.3">
      <c r="A806" s="2">
        <v>44289</v>
      </c>
      <c r="B806" s="36">
        <v>28.611699999999999</v>
      </c>
      <c r="C806" s="36">
        <v>28.611699999999999</v>
      </c>
      <c r="D806" s="36">
        <v>28.611699999999999</v>
      </c>
      <c r="E806" s="36">
        <v>28.611699999999999</v>
      </c>
    </row>
    <row r="807" spans="1:5" x14ac:dyDescent="0.3">
      <c r="A807" s="1">
        <v>44290</v>
      </c>
      <c r="B807" s="37">
        <v>28.644300000000001</v>
      </c>
      <c r="C807" s="37">
        <v>28.644300000000001</v>
      </c>
      <c r="D807" s="37">
        <v>28.644300000000001</v>
      </c>
      <c r="E807" s="37">
        <v>28.644300000000001</v>
      </c>
    </row>
    <row r="808" spans="1:5" x14ac:dyDescent="0.3">
      <c r="A808" s="2">
        <v>44291</v>
      </c>
      <c r="B808" s="36">
        <v>28.677</v>
      </c>
      <c r="C808" s="36">
        <v>28.677</v>
      </c>
      <c r="D808" s="36">
        <v>28.677</v>
      </c>
      <c r="E808" s="36">
        <v>28.677</v>
      </c>
    </row>
    <row r="809" spans="1:5" x14ac:dyDescent="0.3">
      <c r="A809" s="1">
        <v>44292</v>
      </c>
      <c r="B809" s="37">
        <v>28.709800000000001</v>
      </c>
      <c r="C809" s="37">
        <v>28.709800000000001</v>
      </c>
      <c r="D809" s="37">
        <v>28.709800000000001</v>
      </c>
      <c r="E809" s="37">
        <v>28.709800000000001</v>
      </c>
    </row>
    <row r="810" spans="1:5" x14ac:dyDescent="0.3">
      <c r="A810" s="2">
        <v>44293</v>
      </c>
      <c r="B810" s="36">
        <v>28.742599999999999</v>
      </c>
      <c r="C810" s="36">
        <v>28.742599999999999</v>
      </c>
      <c r="D810" s="36">
        <v>28.742599999999999</v>
      </c>
      <c r="E810" s="36">
        <v>28.742599999999999</v>
      </c>
    </row>
    <row r="811" spans="1:5" x14ac:dyDescent="0.3">
      <c r="A811" s="1">
        <v>44294</v>
      </c>
      <c r="B811" s="37">
        <v>28.775400000000001</v>
      </c>
      <c r="C811" s="37">
        <v>28.775400000000001</v>
      </c>
      <c r="D811" s="37">
        <v>28.775400000000001</v>
      </c>
      <c r="E811" s="37">
        <v>28.775400000000001</v>
      </c>
    </row>
    <row r="812" spans="1:5" x14ac:dyDescent="0.3">
      <c r="A812" s="2">
        <v>44295</v>
      </c>
      <c r="B812" s="36">
        <v>28.808199999999999</v>
      </c>
      <c r="C812" s="36">
        <v>28.808199999999999</v>
      </c>
      <c r="D812" s="36">
        <v>28.808199999999999</v>
      </c>
      <c r="E812" s="36">
        <v>28.808199999999999</v>
      </c>
    </row>
    <row r="813" spans="1:5" x14ac:dyDescent="0.3">
      <c r="A813" s="1">
        <v>44296</v>
      </c>
      <c r="B813" s="37">
        <v>28.841100000000001</v>
      </c>
      <c r="C813" s="37">
        <v>28.841100000000001</v>
      </c>
      <c r="D813" s="37">
        <v>28.841100000000001</v>
      </c>
      <c r="E813" s="37">
        <v>28.841100000000001</v>
      </c>
    </row>
    <row r="814" spans="1:5" x14ac:dyDescent="0.3">
      <c r="A814" s="2">
        <v>44297</v>
      </c>
      <c r="B814" s="36">
        <v>28.873999999999999</v>
      </c>
      <c r="C814" s="36">
        <v>28.873999999999999</v>
      </c>
      <c r="D814" s="36">
        <v>28.873999999999999</v>
      </c>
      <c r="E814" s="36">
        <v>28.873999999999999</v>
      </c>
    </row>
    <row r="815" spans="1:5" x14ac:dyDescent="0.3">
      <c r="A815" s="1">
        <v>44298</v>
      </c>
      <c r="B815" s="37">
        <v>28.907</v>
      </c>
      <c r="C815" s="37">
        <v>28.907</v>
      </c>
      <c r="D815" s="37">
        <v>28.907</v>
      </c>
      <c r="E815" s="37">
        <v>28.907</v>
      </c>
    </row>
    <row r="816" spans="1:5" x14ac:dyDescent="0.3">
      <c r="A816" s="2">
        <v>44299</v>
      </c>
      <c r="B816" s="36">
        <v>28.94</v>
      </c>
      <c r="C816" s="36">
        <v>28.94</v>
      </c>
      <c r="D816" s="36">
        <v>28.94</v>
      </c>
      <c r="E816" s="36">
        <v>28.94</v>
      </c>
    </row>
    <row r="817" spans="1:5" x14ac:dyDescent="0.3">
      <c r="A817" s="1">
        <v>44300</v>
      </c>
      <c r="B817" s="37">
        <v>28.972999999999999</v>
      </c>
      <c r="C817" s="37">
        <v>28.972999999999999</v>
      </c>
      <c r="D817" s="37">
        <v>28.972999999999999</v>
      </c>
      <c r="E817" s="37">
        <v>28.972999999999999</v>
      </c>
    </row>
    <row r="818" spans="1:5" x14ac:dyDescent="0.3">
      <c r="A818" s="2">
        <v>44301</v>
      </c>
      <c r="B818" s="36">
        <v>29.0061</v>
      </c>
      <c r="C818" s="36">
        <v>29.0061</v>
      </c>
      <c r="D818" s="36">
        <v>29.0061</v>
      </c>
      <c r="E818" s="36">
        <v>29.0061</v>
      </c>
    </row>
    <row r="819" spans="1:5" x14ac:dyDescent="0.3">
      <c r="A819" s="1">
        <v>44302</v>
      </c>
      <c r="B819" s="37">
        <v>29.051500000000001</v>
      </c>
      <c r="C819" s="37">
        <v>29.051500000000001</v>
      </c>
      <c r="D819" s="37">
        <v>29.051500000000001</v>
      </c>
      <c r="E819" s="37">
        <v>29.051500000000001</v>
      </c>
    </row>
    <row r="820" spans="1:5" x14ac:dyDescent="0.3">
      <c r="A820" s="2">
        <v>44303</v>
      </c>
      <c r="B820" s="36">
        <v>29.096900000000002</v>
      </c>
      <c r="C820" s="36">
        <v>29.096900000000002</v>
      </c>
      <c r="D820" s="36">
        <v>29.096900000000002</v>
      </c>
      <c r="E820" s="36">
        <v>29.096900000000002</v>
      </c>
    </row>
    <row r="821" spans="1:5" x14ac:dyDescent="0.3">
      <c r="A821" s="1">
        <v>44304</v>
      </c>
      <c r="B821" s="37">
        <v>29.142399999999999</v>
      </c>
      <c r="C821" s="37">
        <v>29.142399999999999</v>
      </c>
      <c r="D821" s="37">
        <v>29.142399999999999</v>
      </c>
      <c r="E821" s="37">
        <v>29.142399999999999</v>
      </c>
    </row>
    <row r="822" spans="1:5" x14ac:dyDescent="0.3">
      <c r="A822" s="2">
        <v>44305</v>
      </c>
      <c r="B822" s="36">
        <v>29.187999999999999</v>
      </c>
      <c r="C822" s="36">
        <v>29.187999999999999</v>
      </c>
      <c r="D822" s="36">
        <v>29.187999999999999</v>
      </c>
      <c r="E822" s="36">
        <v>29.187999999999999</v>
      </c>
    </row>
    <row r="823" spans="1:5" x14ac:dyDescent="0.3">
      <c r="A823" s="1">
        <v>44306</v>
      </c>
      <c r="B823" s="37">
        <v>29.233599999999999</v>
      </c>
      <c r="C823" s="37">
        <v>29.233599999999999</v>
      </c>
      <c r="D823" s="37">
        <v>29.233599999999999</v>
      </c>
      <c r="E823" s="37">
        <v>29.233599999999999</v>
      </c>
    </row>
    <row r="824" spans="1:5" x14ac:dyDescent="0.3">
      <c r="A824" s="2">
        <v>44307</v>
      </c>
      <c r="B824" s="36">
        <v>29.279299999999999</v>
      </c>
      <c r="C824" s="36">
        <v>29.279299999999999</v>
      </c>
      <c r="D824" s="36">
        <v>29.279299999999999</v>
      </c>
      <c r="E824" s="36">
        <v>29.279299999999999</v>
      </c>
    </row>
    <row r="825" spans="1:5" x14ac:dyDescent="0.3">
      <c r="A825" s="1">
        <v>44308</v>
      </c>
      <c r="B825" s="37">
        <v>29.325099999999999</v>
      </c>
      <c r="C825" s="37">
        <v>29.325099999999999</v>
      </c>
      <c r="D825" s="37">
        <v>29.325099999999999</v>
      </c>
      <c r="E825" s="37">
        <v>29.325099999999999</v>
      </c>
    </row>
    <row r="826" spans="1:5" x14ac:dyDescent="0.3">
      <c r="A826" s="2">
        <v>44309</v>
      </c>
      <c r="B826" s="36">
        <v>29.370999999999999</v>
      </c>
      <c r="C826" s="36">
        <v>29.370999999999999</v>
      </c>
      <c r="D826" s="36">
        <v>29.370999999999999</v>
      </c>
      <c r="E826" s="36">
        <v>29.370999999999999</v>
      </c>
    </row>
    <row r="827" spans="1:5" x14ac:dyDescent="0.3">
      <c r="A827" s="1">
        <v>44310</v>
      </c>
      <c r="B827" s="37">
        <v>29.416899999999998</v>
      </c>
      <c r="C827" s="37">
        <v>29.416899999999998</v>
      </c>
      <c r="D827" s="37">
        <v>29.416899999999998</v>
      </c>
      <c r="E827" s="37">
        <v>29.416899999999998</v>
      </c>
    </row>
    <row r="828" spans="1:5" x14ac:dyDescent="0.3">
      <c r="A828" s="2">
        <v>44311</v>
      </c>
      <c r="B828" s="36">
        <v>29.463000000000001</v>
      </c>
      <c r="C828" s="36">
        <v>29.463000000000001</v>
      </c>
      <c r="D828" s="36">
        <v>29.463000000000001</v>
      </c>
      <c r="E828" s="36">
        <v>29.463000000000001</v>
      </c>
    </row>
    <row r="829" spans="1:5" x14ac:dyDescent="0.3">
      <c r="A829" s="1">
        <v>44312</v>
      </c>
      <c r="B829" s="37">
        <v>29.509</v>
      </c>
      <c r="C829" s="37">
        <v>29.509</v>
      </c>
      <c r="D829" s="37">
        <v>29.509</v>
      </c>
      <c r="E829" s="37">
        <v>29.509</v>
      </c>
    </row>
    <row r="830" spans="1:5" x14ac:dyDescent="0.3">
      <c r="A830" s="2">
        <v>44313</v>
      </c>
      <c r="B830" s="36">
        <v>29.555199999999999</v>
      </c>
      <c r="C830" s="36">
        <v>29.555199999999999</v>
      </c>
      <c r="D830" s="36">
        <v>29.555199999999999</v>
      </c>
      <c r="E830" s="36">
        <v>29.555199999999999</v>
      </c>
    </row>
    <row r="831" spans="1:5" x14ac:dyDescent="0.3">
      <c r="A831" s="1">
        <v>44314</v>
      </c>
      <c r="B831" s="37">
        <v>29.601400000000002</v>
      </c>
      <c r="C831" s="37">
        <v>29.601400000000002</v>
      </c>
      <c r="D831" s="37">
        <v>29.601400000000002</v>
      </c>
      <c r="E831" s="37">
        <v>29.601400000000002</v>
      </c>
    </row>
    <row r="832" spans="1:5" x14ac:dyDescent="0.3">
      <c r="A832" s="2">
        <v>44315</v>
      </c>
      <c r="B832" s="36">
        <v>29.6477</v>
      </c>
      <c r="C832" s="36">
        <v>29.6477</v>
      </c>
      <c r="D832" s="36">
        <v>29.6477</v>
      </c>
      <c r="E832" s="36">
        <v>29.6477</v>
      </c>
    </row>
    <row r="833" spans="1:5" x14ac:dyDescent="0.3">
      <c r="A833" s="1">
        <v>44316</v>
      </c>
      <c r="B833" s="37">
        <v>29.694099999999999</v>
      </c>
      <c r="C833" s="37">
        <v>29.694099999999999</v>
      </c>
      <c r="D833" s="37">
        <v>29.694099999999999</v>
      </c>
      <c r="E833" s="37">
        <v>29.694099999999999</v>
      </c>
    </row>
    <row r="834" spans="1:5" x14ac:dyDescent="0.3">
      <c r="A834" s="2">
        <v>44317</v>
      </c>
      <c r="B834" s="36">
        <v>29.740500000000001</v>
      </c>
      <c r="C834" s="36">
        <v>29.740500000000001</v>
      </c>
      <c r="D834" s="36">
        <v>29.740500000000001</v>
      </c>
      <c r="E834" s="36">
        <v>29.740500000000001</v>
      </c>
    </row>
    <row r="835" spans="1:5" x14ac:dyDescent="0.3">
      <c r="A835" s="1">
        <v>44318</v>
      </c>
      <c r="B835" s="37">
        <v>29.786999999999999</v>
      </c>
      <c r="C835" s="37">
        <v>29.786999999999999</v>
      </c>
      <c r="D835" s="37">
        <v>29.786999999999999</v>
      </c>
      <c r="E835" s="37">
        <v>29.786999999999999</v>
      </c>
    </row>
    <row r="836" spans="1:5" x14ac:dyDescent="0.3">
      <c r="A836" s="2">
        <v>44319</v>
      </c>
      <c r="B836" s="36">
        <v>29.833600000000001</v>
      </c>
      <c r="C836" s="36">
        <v>29.833600000000001</v>
      </c>
      <c r="D836" s="36">
        <v>29.833600000000001</v>
      </c>
      <c r="E836" s="36">
        <v>29.833600000000001</v>
      </c>
    </row>
    <row r="837" spans="1:5" x14ac:dyDescent="0.3">
      <c r="A837" s="1">
        <v>44320</v>
      </c>
      <c r="B837" s="37">
        <v>29.880299999999998</v>
      </c>
      <c r="C837" s="37">
        <v>29.880299999999998</v>
      </c>
      <c r="D837" s="37">
        <v>29.880299999999998</v>
      </c>
      <c r="E837" s="37">
        <v>29.880299999999998</v>
      </c>
    </row>
    <row r="838" spans="1:5" x14ac:dyDescent="0.3">
      <c r="A838" s="2">
        <v>44321</v>
      </c>
      <c r="B838" s="36">
        <v>29.927</v>
      </c>
      <c r="C838" s="36">
        <v>29.927</v>
      </c>
      <c r="D838" s="36">
        <v>29.927</v>
      </c>
      <c r="E838" s="36">
        <v>29.927</v>
      </c>
    </row>
    <row r="839" spans="1:5" x14ac:dyDescent="0.3">
      <c r="A839" s="1">
        <v>44322</v>
      </c>
      <c r="B839" s="37">
        <v>29.973800000000001</v>
      </c>
      <c r="C839" s="37">
        <v>29.973800000000001</v>
      </c>
      <c r="D839" s="37">
        <v>29.973800000000001</v>
      </c>
      <c r="E839" s="37">
        <v>29.973800000000001</v>
      </c>
    </row>
    <row r="840" spans="1:5" x14ac:dyDescent="0.3">
      <c r="A840" s="2">
        <v>44323</v>
      </c>
      <c r="B840" s="36">
        <v>30.020700000000001</v>
      </c>
      <c r="C840" s="36">
        <v>30.020700000000001</v>
      </c>
      <c r="D840" s="36">
        <v>30.020700000000001</v>
      </c>
      <c r="E840" s="36">
        <v>30.020700000000001</v>
      </c>
    </row>
    <row r="841" spans="1:5" x14ac:dyDescent="0.3">
      <c r="A841" s="1">
        <v>44324</v>
      </c>
      <c r="B841" s="37">
        <v>30.067599999999999</v>
      </c>
      <c r="C841" s="37">
        <v>30.067599999999999</v>
      </c>
      <c r="D841" s="37">
        <v>30.067599999999999</v>
      </c>
      <c r="E841" s="37">
        <v>30.067599999999999</v>
      </c>
    </row>
    <row r="842" spans="1:5" x14ac:dyDescent="0.3">
      <c r="A842" s="2">
        <v>44325</v>
      </c>
      <c r="B842" s="36">
        <v>30.114699999999999</v>
      </c>
      <c r="C842" s="36">
        <v>30.114699999999999</v>
      </c>
      <c r="D842" s="36">
        <v>30.114699999999999</v>
      </c>
      <c r="E842" s="36">
        <v>30.114699999999999</v>
      </c>
    </row>
    <row r="843" spans="1:5" x14ac:dyDescent="0.3">
      <c r="A843" s="1">
        <v>44326</v>
      </c>
      <c r="B843" s="37">
        <v>30.161799999999999</v>
      </c>
      <c r="C843" s="37">
        <v>30.161799999999999</v>
      </c>
      <c r="D843" s="37">
        <v>30.161799999999999</v>
      </c>
      <c r="E843" s="37">
        <v>30.161799999999999</v>
      </c>
    </row>
    <row r="844" spans="1:5" x14ac:dyDescent="0.3">
      <c r="A844" s="2">
        <v>44327</v>
      </c>
      <c r="B844" s="36">
        <v>30.2089</v>
      </c>
      <c r="C844" s="36">
        <v>30.2089</v>
      </c>
      <c r="D844" s="36">
        <v>30.2089</v>
      </c>
      <c r="E844" s="36">
        <v>30.2089</v>
      </c>
    </row>
    <row r="845" spans="1:5" x14ac:dyDescent="0.3">
      <c r="A845" s="1">
        <v>44328</v>
      </c>
      <c r="B845" s="37">
        <v>30.2562</v>
      </c>
      <c r="C845" s="37">
        <v>30.2562</v>
      </c>
      <c r="D845" s="37">
        <v>30.2562</v>
      </c>
      <c r="E845" s="37">
        <v>30.2562</v>
      </c>
    </row>
    <row r="846" spans="1:5" x14ac:dyDescent="0.3">
      <c r="A846" s="2">
        <v>44329</v>
      </c>
      <c r="B846" s="36">
        <v>30.3035</v>
      </c>
      <c r="C846" s="36">
        <v>30.3035</v>
      </c>
      <c r="D846" s="36">
        <v>30.3035</v>
      </c>
      <c r="E846" s="36">
        <v>30.3035</v>
      </c>
    </row>
    <row r="847" spans="1:5" x14ac:dyDescent="0.3">
      <c r="A847" s="1">
        <v>44330</v>
      </c>
      <c r="B847" s="37">
        <v>30.350899999999999</v>
      </c>
      <c r="C847" s="37">
        <v>30.350899999999999</v>
      </c>
      <c r="D847" s="37">
        <v>30.350899999999999</v>
      </c>
      <c r="E847" s="37">
        <v>30.350899999999999</v>
      </c>
    </row>
    <row r="848" spans="1:5" x14ac:dyDescent="0.3">
      <c r="A848" s="2">
        <v>44331</v>
      </c>
      <c r="B848" s="36">
        <v>30.398399999999999</v>
      </c>
      <c r="C848" s="36">
        <v>30.398399999999999</v>
      </c>
      <c r="D848" s="36">
        <v>30.398399999999999</v>
      </c>
      <c r="E848" s="36">
        <v>30.398399999999999</v>
      </c>
    </row>
    <row r="849" spans="1:5" x14ac:dyDescent="0.3">
      <c r="A849" s="1">
        <v>44332</v>
      </c>
      <c r="B849" s="37">
        <v>30.437799999999999</v>
      </c>
      <c r="C849" s="37">
        <v>30.437799999999999</v>
      </c>
      <c r="D849" s="37">
        <v>30.437799999999999</v>
      </c>
      <c r="E849" s="37">
        <v>30.437799999999999</v>
      </c>
    </row>
    <row r="850" spans="1:5" x14ac:dyDescent="0.3">
      <c r="A850" s="2">
        <v>44333</v>
      </c>
      <c r="B850" s="36">
        <v>30.4773</v>
      </c>
      <c r="C850" s="36">
        <v>30.4773</v>
      </c>
      <c r="D850" s="36">
        <v>30.4773</v>
      </c>
      <c r="E850" s="36">
        <v>30.4773</v>
      </c>
    </row>
    <row r="851" spans="1:5" x14ac:dyDescent="0.3">
      <c r="A851" s="1">
        <v>44334</v>
      </c>
      <c r="B851" s="37">
        <v>30.5168</v>
      </c>
      <c r="C851" s="37">
        <v>30.5168</v>
      </c>
      <c r="D851" s="37">
        <v>30.5168</v>
      </c>
      <c r="E851" s="37">
        <v>30.5168</v>
      </c>
    </row>
    <row r="852" spans="1:5" x14ac:dyDescent="0.3">
      <c r="A852" s="2">
        <v>44335</v>
      </c>
      <c r="B852" s="36">
        <v>30.5564</v>
      </c>
      <c r="C852" s="36">
        <v>30.5564</v>
      </c>
      <c r="D852" s="36">
        <v>30.5564</v>
      </c>
      <c r="E852" s="36">
        <v>30.5564</v>
      </c>
    </row>
    <row r="853" spans="1:5" x14ac:dyDescent="0.3">
      <c r="A853" s="1">
        <v>44336</v>
      </c>
      <c r="B853" s="37">
        <v>30.596</v>
      </c>
      <c r="C853" s="37">
        <v>30.596</v>
      </c>
      <c r="D853" s="37">
        <v>30.596</v>
      </c>
      <c r="E853" s="37">
        <v>30.596</v>
      </c>
    </row>
    <row r="854" spans="1:5" x14ac:dyDescent="0.3">
      <c r="A854" s="2">
        <v>44337</v>
      </c>
      <c r="B854" s="36">
        <v>30.6357</v>
      </c>
      <c r="C854" s="36">
        <v>30.6357</v>
      </c>
      <c r="D854" s="36">
        <v>30.6357</v>
      </c>
      <c r="E854" s="36">
        <v>30.6357</v>
      </c>
    </row>
    <row r="855" spans="1:5" x14ac:dyDescent="0.3">
      <c r="A855" s="1">
        <v>44338</v>
      </c>
      <c r="B855" s="37">
        <v>30.6754</v>
      </c>
      <c r="C855" s="37">
        <v>30.6754</v>
      </c>
      <c r="D855" s="37">
        <v>30.6754</v>
      </c>
      <c r="E855" s="37">
        <v>30.6754</v>
      </c>
    </row>
    <row r="856" spans="1:5" x14ac:dyDescent="0.3">
      <c r="A856" s="2">
        <v>44339</v>
      </c>
      <c r="B856" s="36">
        <v>30.715199999999999</v>
      </c>
      <c r="C856" s="36">
        <v>30.715199999999999</v>
      </c>
      <c r="D856" s="36">
        <v>30.715199999999999</v>
      </c>
      <c r="E856" s="36">
        <v>30.715199999999999</v>
      </c>
    </row>
    <row r="857" spans="1:5" x14ac:dyDescent="0.3">
      <c r="A857" s="1">
        <v>44340</v>
      </c>
      <c r="B857" s="37">
        <v>30.755099999999999</v>
      </c>
      <c r="C857" s="37">
        <v>30.755099999999999</v>
      </c>
      <c r="D857" s="37">
        <v>30.755099999999999</v>
      </c>
      <c r="E857" s="37">
        <v>30.755099999999999</v>
      </c>
    </row>
    <row r="858" spans="1:5" x14ac:dyDescent="0.3">
      <c r="A858" s="2">
        <v>44341</v>
      </c>
      <c r="B858" s="36">
        <v>30.795000000000002</v>
      </c>
      <c r="C858" s="36">
        <v>30.795000000000002</v>
      </c>
      <c r="D858" s="36">
        <v>30.795000000000002</v>
      </c>
      <c r="E858" s="36">
        <v>30.795000000000002</v>
      </c>
    </row>
    <row r="859" spans="1:5" x14ac:dyDescent="0.3">
      <c r="A859" s="1">
        <v>44342</v>
      </c>
      <c r="B859" s="37">
        <v>30.834900000000001</v>
      </c>
      <c r="C859" s="37">
        <v>30.834900000000001</v>
      </c>
      <c r="D859" s="37">
        <v>30.834900000000001</v>
      </c>
      <c r="E859" s="37">
        <v>30.834900000000001</v>
      </c>
    </row>
    <row r="860" spans="1:5" x14ac:dyDescent="0.3">
      <c r="A860" s="2">
        <v>44343</v>
      </c>
      <c r="B860" s="36">
        <v>30.8749</v>
      </c>
      <c r="C860" s="36">
        <v>30.8749</v>
      </c>
      <c r="D860" s="36">
        <v>30.8749</v>
      </c>
      <c r="E860" s="36">
        <v>30.8749</v>
      </c>
    </row>
    <row r="861" spans="1:5" x14ac:dyDescent="0.3">
      <c r="A861" s="1">
        <v>44344</v>
      </c>
      <c r="B861" s="37">
        <v>30.914899999999999</v>
      </c>
      <c r="C861" s="37">
        <v>30.914899999999999</v>
      </c>
      <c r="D861" s="37">
        <v>30.914899999999999</v>
      </c>
      <c r="E861" s="37">
        <v>30.914899999999999</v>
      </c>
    </row>
    <row r="862" spans="1:5" x14ac:dyDescent="0.3">
      <c r="A862" s="2">
        <v>44345</v>
      </c>
      <c r="B862" s="36">
        <v>30.954999999999998</v>
      </c>
      <c r="C862" s="36">
        <v>30.954999999999998</v>
      </c>
      <c r="D862" s="36">
        <v>30.954999999999998</v>
      </c>
      <c r="E862" s="36">
        <v>30.954999999999998</v>
      </c>
    </row>
    <row r="863" spans="1:5" x14ac:dyDescent="0.3">
      <c r="A863" s="1">
        <v>44346</v>
      </c>
      <c r="B863" s="37">
        <v>30.995200000000001</v>
      </c>
      <c r="C863" s="37">
        <v>30.995200000000001</v>
      </c>
      <c r="D863" s="37">
        <v>30.995200000000001</v>
      </c>
      <c r="E863" s="37">
        <v>30.995200000000001</v>
      </c>
    </row>
    <row r="864" spans="1:5" x14ac:dyDescent="0.3">
      <c r="A864" s="2">
        <v>44347</v>
      </c>
      <c r="B864" s="36">
        <v>31.035399999999999</v>
      </c>
      <c r="C864" s="36">
        <v>31.035399999999999</v>
      </c>
      <c r="D864" s="36">
        <v>31.035399999999999</v>
      </c>
      <c r="E864" s="36">
        <v>31.035399999999999</v>
      </c>
    </row>
    <row r="865" spans="1:5" x14ac:dyDescent="0.3">
      <c r="A865" s="1">
        <v>44348</v>
      </c>
      <c r="B865" s="37">
        <v>31.075600000000001</v>
      </c>
      <c r="C865" s="37">
        <v>31.075600000000001</v>
      </c>
      <c r="D865" s="37">
        <v>31.075600000000001</v>
      </c>
      <c r="E865" s="37">
        <v>31.075600000000001</v>
      </c>
    </row>
    <row r="866" spans="1:5" x14ac:dyDescent="0.3">
      <c r="A866" s="2">
        <v>44349</v>
      </c>
      <c r="B866" s="36">
        <v>31.116</v>
      </c>
      <c r="C866" s="36">
        <v>31.116</v>
      </c>
      <c r="D866" s="36">
        <v>31.116</v>
      </c>
      <c r="E866" s="36">
        <v>31.116</v>
      </c>
    </row>
    <row r="867" spans="1:5" x14ac:dyDescent="0.3">
      <c r="A867" s="1">
        <v>44350</v>
      </c>
      <c r="B867" s="37">
        <v>31.156300000000002</v>
      </c>
      <c r="C867" s="37">
        <v>31.156300000000002</v>
      </c>
      <c r="D867" s="37">
        <v>31.156300000000002</v>
      </c>
      <c r="E867" s="37">
        <v>31.156300000000002</v>
      </c>
    </row>
    <row r="868" spans="1:5" x14ac:dyDescent="0.3">
      <c r="A868" s="2">
        <v>44351</v>
      </c>
      <c r="B868" s="36">
        <v>31.1967</v>
      </c>
      <c r="C868" s="36">
        <v>31.1967</v>
      </c>
      <c r="D868" s="36">
        <v>31.1967</v>
      </c>
      <c r="E868" s="36">
        <v>31.1967</v>
      </c>
    </row>
    <row r="869" spans="1:5" x14ac:dyDescent="0.3">
      <c r="A869" s="1">
        <v>44352</v>
      </c>
      <c r="B869" s="37">
        <v>31.237200000000001</v>
      </c>
      <c r="C869" s="37">
        <v>31.237200000000001</v>
      </c>
      <c r="D869" s="37">
        <v>31.237200000000001</v>
      </c>
      <c r="E869" s="37">
        <v>31.237200000000001</v>
      </c>
    </row>
    <row r="870" spans="1:5" x14ac:dyDescent="0.3">
      <c r="A870" s="2">
        <v>44353</v>
      </c>
      <c r="B870" s="36">
        <v>31.277699999999999</v>
      </c>
      <c r="C870" s="36">
        <v>31.277699999999999</v>
      </c>
      <c r="D870" s="36">
        <v>31.277699999999999</v>
      </c>
      <c r="E870" s="36">
        <v>31.277699999999999</v>
      </c>
    </row>
    <row r="871" spans="1:5" x14ac:dyDescent="0.3">
      <c r="A871" s="1">
        <v>44354</v>
      </c>
      <c r="B871" s="37">
        <v>31.318300000000001</v>
      </c>
      <c r="C871" s="37">
        <v>31.318300000000001</v>
      </c>
      <c r="D871" s="37">
        <v>31.318300000000001</v>
      </c>
      <c r="E871" s="37">
        <v>31.318300000000001</v>
      </c>
    </row>
    <row r="872" spans="1:5" x14ac:dyDescent="0.3">
      <c r="A872" s="2">
        <v>44355</v>
      </c>
      <c r="B872" s="36">
        <v>31.358899999999998</v>
      </c>
      <c r="C872" s="36">
        <v>31.358899999999998</v>
      </c>
      <c r="D872" s="36">
        <v>31.358899999999998</v>
      </c>
      <c r="E872" s="36">
        <v>31.358899999999998</v>
      </c>
    </row>
    <row r="873" spans="1:5" x14ac:dyDescent="0.3">
      <c r="A873" s="1">
        <v>44356</v>
      </c>
      <c r="B873" s="37">
        <v>31.3996</v>
      </c>
      <c r="C873" s="37">
        <v>31.3996</v>
      </c>
      <c r="D873" s="37">
        <v>31.3996</v>
      </c>
      <c r="E873" s="37">
        <v>31.3996</v>
      </c>
    </row>
    <row r="874" spans="1:5" x14ac:dyDescent="0.3">
      <c r="A874" s="2">
        <v>44357</v>
      </c>
      <c r="B874" s="36">
        <v>31.440300000000001</v>
      </c>
      <c r="C874" s="36">
        <v>31.440300000000001</v>
      </c>
      <c r="D874" s="36">
        <v>31.440300000000001</v>
      </c>
      <c r="E874" s="36">
        <v>31.440300000000001</v>
      </c>
    </row>
    <row r="875" spans="1:5" x14ac:dyDescent="0.3">
      <c r="A875" s="1">
        <v>44358</v>
      </c>
      <c r="B875" s="37">
        <v>31.481100000000001</v>
      </c>
      <c r="C875" s="37">
        <v>31.481100000000001</v>
      </c>
      <c r="D875" s="37">
        <v>31.481100000000001</v>
      </c>
      <c r="E875" s="37">
        <v>31.481100000000001</v>
      </c>
    </row>
    <row r="876" spans="1:5" x14ac:dyDescent="0.3">
      <c r="A876" s="2">
        <v>44359</v>
      </c>
      <c r="B876" s="36">
        <v>31.521899999999999</v>
      </c>
      <c r="C876" s="36">
        <v>31.521899999999999</v>
      </c>
      <c r="D876" s="36">
        <v>31.521899999999999</v>
      </c>
      <c r="E876" s="36">
        <v>31.521899999999999</v>
      </c>
    </row>
    <row r="877" spans="1:5" x14ac:dyDescent="0.3">
      <c r="A877" s="1">
        <v>44360</v>
      </c>
      <c r="B877" s="37">
        <v>31.562799999999999</v>
      </c>
      <c r="C877" s="37">
        <v>31.562799999999999</v>
      </c>
      <c r="D877" s="37">
        <v>31.562799999999999</v>
      </c>
      <c r="E877" s="37">
        <v>31.562799999999999</v>
      </c>
    </row>
    <row r="878" spans="1:5" x14ac:dyDescent="0.3">
      <c r="A878" s="2">
        <v>44361</v>
      </c>
      <c r="B878" s="36">
        <v>31.6037</v>
      </c>
      <c r="C878" s="36">
        <v>31.6037</v>
      </c>
      <c r="D878" s="36">
        <v>31.6037</v>
      </c>
      <c r="E878" s="36">
        <v>31.6037</v>
      </c>
    </row>
    <row r="879" spans="1:5" x14ac:dyDescent="0.3">
      <c r="A879" s="1">
        <v>44362</v>
      </c>
      <c r="B879" s="37">
        <v>31.6447</v>
      </c>
      <c r="C879" s="37">
        <v>31.6447</v>
      </c>
      <c r="D879" s="37">
        <v>31.6447</v>
      </c>
      <c r="E879" s="37">
        <v>31.6447</v>
      </c>
    </row>
    <row r="880" spans="1:5" x14ac:dyDescent="0.3">
      <c r="A880" s="2">
        <v>44363</v>
      </c>
      <c r="B880" s="36">
        <v>31.678999999999998</v>
      </c>
      <c r="C880" s="36">
        <v>31.678999999999998</v>
      </c>
      <c r="D880" s="36">
        <v>31.678999999999998</v>
      </c>
      <c r="E880" s="36">
        <v>31.678999999999998</v>
      </c>
    </row>
    <row r="881" spans="1:5" x14ac:dyDescent="0.3">
      <c r="A881" s="1">
        <v>44364</v>
      </c>
      <c r="B881" s="37">
        <v>31.7133</v>
      </c>
      <c r="C881" s="37">
        <v>31.7133</v>
      </c>
      <c r="D881" s="37">
        <v>31.7133</v>
      </c>
      <c r="E881" s="37">
        <v>31.7133</v>
      </c>
    </row>
    <row r="882" spans="1:5" x14ac:dyDescent="0.3">
      <c r="A882" s="2">
        <v>44365</v>
      </c>
      <c r="B882" s="36">
        <v>31.747599999999998</v>
      </c>
      <c r="C882" s="36">
        <v>31.747599999999998</v>
      </c>
      <c r="D882" s="36">
        <v>31.747599999999998</v>
      </c>
      <c r="E882" s="36">
        <v>31.747599999999998</v>
      </c>
    </row>
    <row r="883" spans="1:5" x14ac:dyDescent="0.3">
      <c r="A883" s="1">
        <v>44366</v>
      </c>
      <c r="B883" s="37">
        <v>31.782</v>
      </c>
      <c r="C883" s="37">
        <v>31.782</v>
      </c>
      <c r="D883" s="37">
        <v>31.782</v>
      </c>
      <c r="E883" s="37">
        <v>31.782</v>
      </c>
    </row>
    <row r="884" spans="1:5" x14ac:dyDescent="0.3">
      <c r="A884" s="2">
        <v>44367</v>
      </c>
      <c r="B884" s="36">
        <v>31.816400000000002</v>
      </c>
      <c r="C884" s="36">
        <v>31.816400000000002</v>
      </c>
      <c r="D884" s="36">
        <v>31.816400000000002</v>
      </c>
      <c r="E884" s="36">
        <v>31.816400000000002</v>
      </c>
    </row>
    <row r="885" spans="1:5" x14ac:dyDescent="0.3">
      <c r="A885" s="1">
        <v>44368</v>
      </c>
      <c r="B885" s="37">
        <v>31.850899999999999</v>
      </c>
      <c r="C885" s="37">
        <v>31.850899999999999</v>
      </c>
      <c r="D885" s="37">
        <v>31.850899999999999</v>
      </c>
      <c r="E885" s="37">
        <v>31.850899999999999</v>
      </c>
    </row>
    <row r="886" spans="1:5" x14ac:dyDescent="0.3">
      <c r="A886" s="2">
        <v>44369</v>
      </c>
      <c r="B886" s="36">
        <v>31.885400000000001</v>
      </c>
      <c r="C886" s="36">
        <v>31.885400000000001</v>
      </c>
      <c r="D886" s="36">
        <v>31.885400000000001</v>
      </c>
      <c r="E886" s="36">
        <v>31.885400000000001</v>
      </c>
    </row>
    <row r="887" spans="1:5" x14ac:dyDescent="0.3">
      <c r="A887" s="1">
        <v>44370</v>
      </c>
      <c r="B887" s="37">
        <v>31.919899999999998</v>
      </c>
      <c r="C887" s="37">
        <v>31.919899999999998</v>
      </c>
      <c r="D887" s="37">
        <v>31.919899999999998</v>
      </c>
      <c r="E887" s="37">
        <v>31.919899999999998</v>
      </c>
    </row>
    <row r="888" spans="1:5" x14ac:dyDescent="0.3">
      <c r="A888" s="2">
        <v>44371</v>
      </c>
      <c r="B888" s="36">
        <v>31.9544</v>
      </c>
      <c r="C888" s="36">
        <v>31.9544</v>
      </c>
      <c r="D888" s="36">
        <v>31.9544</v>
      </c>
      <c r="E888" s="36">
        <v>31.9544</v>
      </c>
    </row>
    <row r="889" spans="1:5" x14ac:dyDescent="0.3">
      <c r="A889" s="1">
        <v>44372</v>
      </c>
      <c r="B889" s="37">
        <v>31.989000000000001</v>
      </c>
      <c r="C889" s="37">
        <v>31.989000000000001</v>
      </c>
      <c r="D889" s="37">
        <v>31.989000000000001</v>
      </c>
      <c r="E889" s="37">
        <v>31.989000000000001</v>
      </c>
    </row>
    <row r="890" spans="1:5" x14ac:dyDescent="0.3">
      <c r="A890" s="2">
        <v>44373</v>
      </c>
      <c r="B890" s="36">
        <v>32.023699999999998</v>
      </c>
      <c r="C890" s="36">
        <v>32.023699999999998</v>
      </c>
      <c r="D890" s="36">
        <v>32.023699999999998</v>
      </c>
      <c r="E890" s="36">
        <v>32.023699999999998</v>
      </c>
    </row>
    <row r="891" spans="1:5" x14ac:dyDescent="0.3">
      <c r="A891" s="1">
        <v>44374</v>
      </c>
      <c r="B891" s="37">
        <v>32.058399999999999</v>
      </c>
      <c r="C891" s="37">
        <v>32.058399999999999</v>
      </c>
      <c r="D891" s="37">
        <v>32.058399999999999</v>
      </c>
      <c r="E891" s="37">
        <v>32.058399999999999</v>
      </c>
    </row>
    <row r="892" spans="1:5" x14ac:dyDescent="0.3">
      <c r="A892" s="2">
        <v>44375</v>
      </c>
      <c r="B892" s="36">
        <v>32.0931</v>
      </c>
      <c r="C892" s="36">
        <v>32.0931</v>
      </c>
      <c r="D892" s="36">
        <v>32.0931</v>
      </c>
      <c r="E892" s="36">
        <v>32.0931</v>
      </c>
    </row>
    <row r="893" spans="1:5" x14ac:dyDescent="0.3">
      <c r="A893" s="1">
        <v>44376</v>
      </c>
      <c r="B893" s="37">
        <v>32.127800000000001</v>
      </c>
      <c r="C893" s="37">
        <v>32.127800000000001</v>
      </c>
      <c r="D893" s="37">
        <v>32.127800000000001</v>
      </c>
      <c r="E893" s="37">
        <v>32.127800000000001</v>
      </c>
    </row>
    <row r="894" spans="1:5" x14ac:dyDescent="0.3">
      <c r="A894" s="2">
        <v>44377</v>
      </c>
      <c r="B894" s="36">
        <v>32.162599999999998</v>
      </c>
      <c r="C894" s="36">
        <v>32.162599999999998</v>
      </c>
      <c r="D894" s="36">
        <v>32.162599999999998</v>
      </c>
      <c r="E894" s="36">
        <v>32.162599999999998</v>
      </c>
    </row>
    <row r="895" spans="1:5" x14ac:dyDescent="0.3">
      <c r="A895" s="1">
        <v>44378</v>
      </c>
      <c r="B895" s="37">
        <v>32.197400000000002</v>
      </c>
      <c r="C895" s="37">
        <v>32.197400000000002</v>
      </c>
      <c r="D895" s="37">
        <v>32.197400000000002</v>
      </c>
      <c r="E895" s="37">
        <v>32.197400000000002</v>
      </c>
    </row>
    <row r="896" spans="1:5" x14ac:dyDescent="0.3">
      <c r="A896" s="2">
        <v>44379</v>
      </c>
      <c r="B896" s="36">
        <v>32.232300000000002</v>
      </c>
      <c r="C896" s="36">
        <v>32.232300000000002</v>
      </c>
      <c r="D896" s="36">
        <v>32.232300000000002</v>
      </c>
      <c r="E896" s="36">
        <v>32.232300000000002</v>
      </c>
    </row>
    <row r="897" spans="1:5" x14ac:dyDescent="0.3">
      <c r="A897" s="1">
        <v>44380</v>
      </c>
      <c r="B897" s="37">
        <v>32.267200000000003</v>
      </c>
      <c r="C897" s="37">
        <v>32.267200000000003</v>
      </c>
      <c r="D897" s="37">
        <v>32.267200000000003</v>
      </c>
      <c r="E897" s="37">
        <v>32.267200000000003</v>
      </c>
    </row>
    <row r="898" spans="1:5" x14ac:dyDescent="0.3">
      <c r="A898" s="2">
        <v>44381</v>
      </c>
      <c r="B898" s="36">
        <v>32.302100000000003</v>
      </c>
      <c r="C898" s="36">
        <v>32.302100000000003</v>
      </c>
      <c r="D898" s="36">
        <v>32.302100000000003</v>
      </c>
      <c r="E898" s="36">
        <v>32.302100000000003</v>
      </c>
    </row>
    <row r="899" spans="1:5" x14ac:dyDescent="0.3">
      <c r="A899" s="1">
        <v>44382</v>
      </c>
      <c r="B899" s="37">
        <v>32.3371</v>
      </c>
      <c r="C899" s="37">
        <v>32.3371</v>
      </c>
      <c r="D899" s="37">
        <v>32.3371</v>
      </c>
      <c r="E899" s="37">
        <v>32.3371</v>
      </c>
    </row>
    <row r="900" spans="1:5" x14ac:dyDescent="0.3">
      <c r="A900" s="2">
        <v>44383</v>
      </c>
      <c r="B900" s="36">
        <v>32.372100000000003</v>
      </c>
      <c r="C900" s="36">
        <v>32.372100000000003</v>
      </c>
      <c r="D900" s="36">
        <v>32.372100000000003</v>
      </c>
      <c r="E900" s="36">
        <v>32.372100000000003</v>
      </c>
    </row>
    <row r="901" spans="1:5" x14ac:dyDescent="0.3">
      <c r="A901" s="1">
        <v>44384</v>
      </c>
      <c r="B901" s="37">
        <v>32.407200000000003</v>
      </c>
      <c r="C901" s="37">
        <v>32.407200000000003</v>
      </c>
      <c r="D901" s="37">
        <v>32.407200000000003</v>
      </c>
      <c r="E901" s="37">
        <v>32.407200000000003</v>
      </c>
    </row>
    <row r="902" spans="1:5" x14ac:dyDescent="0.3">
      <c r="A902" s="2">
        <v>44385</v>
      </c>
      <c r="B902" s="36">
        <v>32.442300000000003</v>
      </c>
      <c r="C902" s="36">
        <v>32.442300000000003</v>
      </c>
      <c r="D902" s="36">
        <v>32.442300000000003</v>
      </c>
      <c r="E902" s="36">
        <v>32.442300000000003</v>
      </c>
    </row>
    <row r="903" spans="1:5" x14ac:dyDescent="0.3">
      <c r="A903" s="1">
        <v>44386</v>
      </c>
      <c r="B903" s="37">
        <v>32.477400000000003</v>
      </c>
      <c r="C903" s="37">
        <v>32.477400000000003</v>
      </c>
      <c r="D903" s="37">
        <v>32.477400000000003</v>
      </c>
      <c r="E903" s="37">
        <v>32.477400000000003</v>
      </c>
    </row>
    <row r="904" spans="1:5" x14ac:dyDescent="0.3">
      <c r="A904" s="2">
        <v>44387</v>
      </c>
      <c r="B904" s="36">
        <v>32.512599999999999</v>
      </c>
      <c r="C904" s="36">
        <v>32.512599999999999</v>
      </c>
      <c r="D904" s="36">
        <v>32.512599999999999</v>
      </c>
      <c r="E904" s="36">
        <v>32.512599999999999</v>
      </c>
    </row>
    <row r="905" spans="1:5" x14ac:dyDescent="0.3">
      <c r="A905" s="1">
        <v>44388</v>
      </c>
      <c r="B905" s="37">
        <v>32.547800000000002</v>
      </c>
      <c r="C905" s="37">
        <v>32.547800000000002</v>
      </c>
      <c r="D905" s="37">
        <v>32.547800000000002</v>
      </c>
      <c r="E905" s="37">
        <v>32.547800000000002</v>
      </c>
    </row>
    <row r="906" spans="1:5" x14ac:dyDescent="0.3">
      <c r="A906" s="2">
        <v>44389</v>
      </c>
      <c r="B906" s="36">
        <v>32.582999999999998</v>
      </c>
      <c r="C906" s="36">
        <v>32.582999999999998</v>
      </c>
      <c r="D906" s="36">
        <v>32.582999999999998</v>
      </c>
      <c r="E906" s="36">
        <v>32.582999999999998</v>
      </c>
    </row>
    <row r="907" spans="1:5" x14ac:dyDescent="0.3">
      <c r="A907" s="1">
        <v>44390</v>
      </c>
      <c r="B907" s="37">
        <v>32.618299999999998</v>
      </c>
      <c r="C907" s="37">
        <v>32.618299999999998</v>
      </c>
      <c r="D907" s="37">
        <v>32.618299999999998</v>
      </c>
      <c r="E907" s="37">
        <v>32.618299999999998</v>
      </c>
    </row>
    <row r="908" spans="1:5" x14ac:dyDescent="0.3">
      <c r="A908" s="2">
        <v>44391</v>
      </c>
      <c r="B908" s="36">
        <v>32.653599999999997</v>
      </c>
      <c r="C908" s="36">
        <v>32.653599999999997</v>
      </c>
      <c r="D908" s="36">
        <v>32.653599999999997</v>
      </c>
      <c r="E908" s="36">
        <v>32.653599999999997</v>
      </c>
    </row>
    <row r="909" spans="1:5" x14ac:dyDescent="0.3">
      <c r="A909" s="1">
        <v>44392</v>
      </c>
      <c r="B909" s="37">
        <v>32.689</v>
      </c>
      <c r="C909" s="37">
        <v>32.689</v>
      </c>
      <c r="D909" s="37">
        <v>32.689</v>
      </c>
      <c r="E909" s="37">
        <v>32.689</v>
      </c>
    </row>
    <row r="910" spans="1:5" x14ac:dyDescent="0.3">
      <c r="A910" s="2">
        <v>44393</v>
      </c>
      <c r="B910" s="36">
        <v>32.722200000000001</v>
      </c>
      <c r="C910" s="36">
        <v>32.722200000000001</v>
      </c>
      <c r="D910" s="36">
        <v>32.722200000000001</v>
      </c>
      <c r="E910" s="36">
        <v>32.722200000000001</v>
      </c>
    </row>
    <row r="911" spans="1:5" x14ac:dyDescent="0.3">
      <c r="A911" s="1">
        <v>44394</v>
      </c>
      <c r="B911" s="37">
        <v>32.755499999999998</v>
      </c>
      <c r="C911" s="37">
        <v>32.755499999999998</v>
      </c>
      <c r="D911" s="37">
        <v>32.755499999999998</v>
      </c>
      <c r="E911" s="37">
        <v>32.755499999999998</v>
      </c>
    </row>
    <row r="912" spans="1:5" x14ac:dyDescent="0.3">
      <c r="A912" s="2">
        <v>44395</v>
      </c>
      <c r="B912" s="36">
        <v>32.788800000000002</v>
      </c>
      <c r="C912" s="36">
        <v>32.788800000000002</v>
      </c>
      <c r="D912" s="36">
        <v>32.788800000000002</v>
      </c>
      <c r="E912" s="36">
        <v>32.788800000000002</v>
      </c>
    </row>
    <row r="913" spans="1:5" x14ac:dyDescent="0.3">
      <c r="A913" s="1">
        <v>44396</v>
      </c>
      <c r="B913" s="37">
        <v>32.822099999999999</v>
      </c>
      <c r="C913" s="37">
        <v>32.822099999999999</v>
      </c>
      <c r="D913" s="37">
        <v>32.822099999999999</v>
      </c>
      <c r="E913" s="37">
        <v>32.822099999999999</v>
      </c>
    </row>
    <row r="914" spans="1:5" x14ac:dyDescent="0.3">
      <c r="A914" s="2">
        <v>44397</v>
      </c>
      <c r="B914" s="36">
        <v>32.855499999999999</v>
      </c>
      <c r="C914" s="36">
        <v>32.855499999999999</v>
      </c>
      <c r="D914" s="36">
        <v>32.855499999999999</v>
      </c>
      <c r="E914" s="36">
        <v>32.855499999999999</v>
      </c>
    </row>
    <row r="915" spans="1:5" x14ac:dyDescent="0.3">
      <c r="A915" s="1">
        <v>44398</v>
      </c>
      <c r="B915" s="37">
        <v>32.8889</v>
      </c>
      <c r="C915" s="37">
        <v>32.8889</v>
      </c>
      <c r="D915" s="37">
        <v>32.8889</v>
      </c>
      <c r="E915" s="37">
        <v>32.8889</v>
      </c>
    </row>
    <row r="916" spans="1:5" x14ac:dyDescent="0.3">
      <c r="A916" s="2">
        <v>44399</v>
      </c>
      <c r="B916" s="36">
        <v>32.9223</v>
      </c>
      <c r="C916" s="36">
        <v>32.9223</v>
      </c>
      <c r="D916" s="36">
        <v>32.9223</v>
      </c>
      <c r="E916" s="36">
        <v>32.9223</v>
      </c>
    </row>
    <row r="917" spans="1:5" x14ac:dyDescent="0.3">
      <c r="A917" s="1">
        <v>44400</v>
      </c>
      <c r="B917" s="37">
        <v>32.955800000000004</v>
      </c>
      <c r="C917" s="37">
        <v>32.955800000000004</v>
      </c>
      <c r="D917" s="37">
        <v>32.955800000000004</v>
      </c>
      <c r="E917" s="37">
        <v>32.955800000000004</v>
      </c>
    </row>
    <row r="918" spans="1:5" x14ac:dyDescent="0.3">
      <c r="A918" s="2">
        <v>44401</v>
      </c>
      <c r="B918" s="36">
        <v>32.9893</v>
      </c>
      <c r="C918" s="36">
        <v>32.9893</v>
      </c>
      <c r="D918" s="36">
        <v>32.9893</v>
      </c>
      <c r="E918" s="36">
        <v>32.9893</v>
      </c>
    </row>
    <row r="919" spans="1:5" x14ac:dyDescent="0.3">
      <c r="A919" s="1">
        <v>44402</v>
      </c>
      <c r="B919" s="37">
        <v>33.022799999999997</v>
      </c>
      <c r="C919" s="37">
        <v>33.022799999999997</v>
      </c>
      <c r="D919" s="37">
        <v>33.022799999999997</v>
      </c>
      <c r="E919" s="37">
        <v>33.022799999999997</v>
      </c>
    </row>
    <row r="920" spans="1:5" x14ac:dyDescent="0.3">
      <c r="A920" s="2">
        <v>44403</v>
      </c>
      <c r="B920" s="36">
        <v>33.056399999999996</v>
      </c>
      <c r="C920" s="36">
        <v>33.056399999999996</v>
      </c>
      <c r="D920" s="36">
        <v>33.056399999999996</v>
      </c>
      <c r="E920" s="36">
        <v>33.056399999999996</v>
      </c>
    </row>
    <row r="921" spans="1:5" x14ac:dyDescent="0.3">
      <c r="A921" s="1">
        <v>44404</v>
      </c>
      <c r="B921" s="37">
        <v>33.090000000000003</v>
      </c>
      <c r="C921" s="37">
        <v>33.090000000000003</v>
      </c>
      <c r="D921" s="37">
        <v>33.090000000000003</v>
      </c>
      <c r="E921" s="37">
        <v>33.090000000000003</v>
      </c>
    </row>
    <row r="922" spans="1:5" x14ac:dyDescent="0.3">
      <c r="A922" s="2">
        <v>44405</v>
      </c>
      <c r="B922" s="36">
        <v>33.123600000000003</v>
      </c>
      <c r="C922" s="36">
        <v>33.123600000000003</v>
      </c>
      <c r="D922" s="36">
        <v>33.123600000000003</v>
      </c>
      <c r="E922" s="36">
        <v>33.123600000000003</v>
      </c>
    </row>
    <row r="923" spans="1:5" x14ac:dyDescent="0.3">
      <c r="A923" s="1">
        <v>44406</v>
      </c>
      <c r="B923" s="37">
        <v>33.157299999999999</v>
      </c>
      <c r="C923" s="37">
        <v>33.157299999999999</v>
      </c>
      <c r="D923" s="37">
        <v>33.157299999999999</v>
      </c>
      <c r="E923" s="37">
        <v>33.157299999999999</v>
      </c>
    </row>
    <row r="924" spans="1:5" x14ac:dyDescent="0.3">
      <c r="A924" s="2">
        <v>44407</v>
      </c>
      <c r="B924" s="36">
        <v>33.191000000000003</v>
      </c>
      <c r="C924" s="36">
        <v>33.191000000000003</v>
      </c>
      <c r="D924" s="36">
        <v>33.191000000000003</v>
      </c>
      <c r="E924" s="36">
        <v>33.191000000000003</v>
      </c>
    </row>
    <row r="925" spans="1:5" x14ac:dyDescent="0.3">
      <c r="A925" s="1">
        <v>44408</v>
      </c>
      <c r="B925" s="37">
        <v>33.224800000000002</v>
      </c>
      <c r="C925" s="37">
        <v>33.224800000000002</v>
      </c>
      <c r="D925" s="37">
        <v>33.224800000000002</v>
      </c>
      <c r="E925" s="37">
        <v>33.224800000000002</v>
      </c>
    </row>
    <row r="926" spans="1:5" x14ac:dyDescent="0.3">
      <c r="A926" s="2">
        <v>44409</v>
      </c>
      <c r="B926" s="36">
        <v>33.258499999999998</v>
      </c>
      <c r="C926" s="36">
        <v>33.258499999999998</v>
      </c>
      <c r="D926" s="36">
        <v>33.258499999999998</v>
      </c>
      <c r="E926" s="36">
        <v>33.258499999999998</v>
      </c>
    </row>
    <row r="927" spans="1:5" x14ac:dyDescent="0.3">
      <c r="A927" s="1">
        <v>44410</v>
      </c>
      <c r="B927" s="37">
        <v>33.292400000000001</v>
      </c>
      <c r="C927" s="37">
        <v>33.292400000000001</v>
      </c>
      <c r="D927" s="37">
        <v>33.292400000000001</v>
      </c>
      <c r="E927" s="37">
        <v>33.292400000000001</v>
      </c>
    </row>
    <row r="928" spans="1:5" x14ac:dyDescent="0.3">
      <c r="A928" s="2">
        <v>44411</v>
      </c>
      <c r="B928" s="36">
        <v>33.3262</v>
      </c>
      <c r="C928" s="36">
        <v>33.3262</v>
      </c>
      <c r="D928" s="36">
        <v>33.3262</v>
      </c>
      <c r="E928" s="36">
        <v>33.3262</v>
      </c>
    </row>
    <row r="929" spans="1:5" x14ac:dyDescent="0.3">
      <c r="A929" s="1">
        <v>44412</v>
      </c>
      <c r="B929" s="37">
        <v>33.360100000000003</v>
      </c>
      <c r="C929" s="37">
        <v>33.360100000000003</v>
      </c>
      <c r="D929" s="37">
        <v>33.360100000000003</v>
      </c>
      <c r="E929" s="37">
        <v>33.360100000000003</v>
      </c>
    </row>
    <row r="930" spans="1:5" x14ac:dyDescent="0.3">
      <c r="A930" s="2">
        <v>44413</v>
      </c>
      <c r="B930" s="36">
        <v>33.393999999999998</v>
      </c>
      <c r="C930" s="36">
        <v>33.393999999999998</v>
      </c>
      <c r="D930" s="36">
        <v>33.393999999999998</v>
      </c>
      <c r="E930" s="36">
        <v>33.393999999999998</v>
      </c>
    </row>
    <row r="931" spans="1:5" x14ac:dyDescent="0.3">
      <c r="A931" s="1">
        <v>44414</v>
      </c>
      <c r="B931" s="37">
        <v>33.427900000000001</v>
      </c>
      <c r="C931" s="37">
        <v>33.427900000000001</v>
      </c>
      <c r="D931" s="37">
        <v>33.427900000000001</v>
      </c>
      <c r="E931" s="37">
        <v>33.427900000000001</v>
      </c>
    </row>
    <row r="932" spans="1:5" x14ac:dyDescent="0.3">
      <c r="A932" s="2">
        <v>44415</v>
      </c>
      <c r="B932" s="36">
        <v>33.4619</v>
      </c>
      <c r="C932" s="36">
        <v>33.4619</v>
      </c>
      <c r="D932" s="36">
        <v>33.4619</v>
      </c>
      <c r="E932" s="36">
        <v>33.4619</v>
      </c>
    </row>
    <row r="933" spans="1:5" x14ac:dyDescent="0.3">
      <c r="A933" s="1">
        <v>44416</v>
      </c>
      <c r="B933" s="37">
        <v>33.495899999999999</v>
      </c>
      <c r="C933" s="37">
        <v>33.495899999999999</v>
      </c>
      <c r="D933" s="37">
        <v>33.495899999999999</v>
      </c>
      <c r="E933" s="37">
        <v>33.495899999999999</v>
      </c>
    </row>
    <row r="934" spans="1:5" x14ac:dyDescent="0.3">
      <c r="A934" s="2">
        <v>44417</v>
      </c>
      <c r="B934" s="36">
        <v>33.53</v>
      </c>
      <c r="C934" s="36">
        <v>33.53</v>
      </c>
      <c r="D934" s="36">
        <v>33.53</v>
      </c>
      <c r="E934" s="36">
        <v>33.53</v>
      </c>
    </row>
    <row r="935" spans="1:5" x14ac:dyDescent="0.3">
      <c r="A935" s="1">
        <v>44418</v>
      </c>
      <c r="B935" s="37">
        <v>33.564100000000003</v>
      </c>
      <c r="C935" s="37">
        <v>33.564100000000003</v>
      </c>
      <c r="D935" s="37">
        <v>33.564100000000003</v>
      </c>
      <c r="E935" s="37">
        <v>33.564100000000003</v>
      </c>
    </row>
    <row r="936" spans="1:5" x14ac:dyDescent="0.3">
      <c r="A936" s="2">
        <v>44419</v>
      </c>
      <c r="B936" s="36">
        <v>33.598199999999999</v>
      </c>
      <c r="C936" s="36">
        <v>33.598199999999999</v>
      </c>
      <c r="D936" s="36">
        <v>33.598199999999999</v>
      </c>
      <c r="E936" s="36">
        <v>33.598199999999999</v>
      </c>
    </row>
    <row r="937" spans="1:5" x14ac:dyDescent="0.3">
      <c r="A937" s="1">
        <v>44420</v>
      </c>
      <c r="B937" s="37">
        <v>33.632399999999997</v>
      </c>
      <c r="C937" s="37">
        <v>33.632399999999997</v>
      </c>
      <c r="D937" s="37">
        <v>33.632399999999997</v>
      </c>
      <c r="E937" s="37">
        <v>33.632399999999997</v>
      </c>
    </row>
    <row r="938" spans="1:5" x14ac:dyDescent="0.3">
      <c r="A938" s="2">
        <v>44421</v>
      </c>
      <c r="B938" s="36">
        <v>33.666600000000003</v>
      </c>
      <c r="C938" s="36">
        <v>33.666600000000003</v>
      </c>
      <c r="D938" s="36">
        <v>33.666600000000003</v>
      </c>
      <c r="E938" s="36">
        <v>33.666600000000003</v>
      </c>
    </row>
    <row r="939" spans="1:5" x14ac:dyDescent="0.3">
      <c r="A939" s="1">
        <v>44422</v>
      </c>
      <c r="B939" s="37">
        <v>33.700800000000001</v>
      </c>
      <c r="C939" s="37">
        <v>33.700800000000001</v>
      </c>
      <c r="D939" s="37">
        <v>33.700800000000001</v>
      </c>
      <c r="E939" s="37">
        <v>33.700800000000001</v>
      </c>
    </row>
    <row r="940" spans="1:5" x14ac:dyDescent="0.3">
      <c r="A940" s="2">
        <v>44423</v>
      </c>
      <c r="B940" s="36">
        <v>33.734999999999999</v>
      </c>
      <c r="C940" s="36">
        <v>33.734999999999999</v>
      </c>
      <c r="D940" s="36">
        <v>33.734999999999999</v>
      </c>
      <c r="E940" s="36">
        <v>33.734999999999999</v>
      </c>
    </row>
    <row r="941" spans="1:5" x14ac:dyDescent="0.3">
      <c r="A941" s="1">
        <v>44424</v>
      </c>
      <c r="B941" s="37">
        <v>33.767200000000003</v>
      </c>
      <c r="C941" s="37">
        <v>33.767200000000003</v>
      </c>
      <c r="D941" s="37">
        <v>33.767200000000003</v>
      </c>
      <c r="E941" s="37">
        <v>33.767200000000003</v>
      </c>
    </row>
    <row r="942" spans="1:5" x14ac:dyDescent="0.3">
      <c r="A942" s="2">
        <v>44425</v>
      </c>
      <c r="B942" s="36">
        <v>33.799399999999999</v>
      </c>
      <c r="C942" s="36">
        <v>33.799399999999999</v>
      </c>
      <c r="D942" s="36">
        <v>33.799399999999999</v>
      </c>
      <c r="E942" s="36">
        <v>33.799399999999999</v>
      </c>
    </row>
    <row r="943" spans="1:5" x14ac:dyDescent="0.3">
      <c r="A943" s="1">
        <v>44426</v>
      </c>
      <c r="B943" s="37">
        <v>33.831699999999998</v>
      </c>
      <c r="C943" s="37">
        <v>33.831699999999998</v>
      </c>
      <c r="D943" s="37">
        <v>33.831699999999998</v>
      </c>
      <c r="E943" s="37">
        <v>33.831699999999998</v>
      </c>
    </row>
    <row r="944" spans="1:5" x14ac:dyDescent="0.3">
      <c r="A944" s="2">
        <v>44427</v>
      </c>
      <c r="B944" s="36">
        <v>33.863900000000001</v>
      </c>
      <c r="C944" s="36">
        <v>33.863900000000001</v>
      </c>
      <c r="D944" s="36">
        <v>33.863900000000001</v>
      </c>
      <c r="E944" s="36">
        <v>33.863900000000001</v>
      </c>
    </row>
    <row r="945" spans="1:5" x14ac:dyDescent="0.3">
      <c r="A945" s="1">
        <v>44428</v>
      </c>
      <c r="B945" s="37">
        <v>33.896299999999997</v>
      </c>
      <c r="C945" s="37">
        <v>33.896299999999997</v>
      </c>
      <c r="D945" s="37">
        <v>33.896299999999997</v>
      </c>
      <c r="E945" s="37">
        <v>33.896299999999997</v>
      </c>
    </row>
    <row r="946" spans="1:5" x14ac:dyDescent="0.3">
      <c r="A946" s="2">
        <v>44429</v>
      </c>
      <c r="B946" s="36">
        <v>33.928600000000003</v>
      </c>
      <c r="C946" s="36">
        <v>33.928600000000003</v>
      </c>
      <c r="D946" s="36">
        <v>33.928600000000003</v>
      </c>
      <c r="E946" s="36">
        <v>33.928600000000003</v>
      </c>
    </row>
    <row r="947" spans="1:5" x14ac:dyDescent="0.3">
      <c r="A947" s="1">
        <v>44430</v>
      </c>
      <c r="B947" s="37">
        <v>33.960999999999999</v>
      </c>
      <c r="C947" s="37">
        <v>33.960999999999999</v>
      </c>
      <c r="D947" s="37">
        <v>33.960999999999999</v>
      </c>
      <c r="E947" s="37">
        <v>33.960999999999999</v>
      </c>
    </row>
    <row r="948" spans="1:5" x14ac:dyDescent="0.3">
      <c r="A948" s="2">
        <v>44431</v>
      </c>
      <c r="B948" s="36">
        <v>33.993400000000001</v>
      </c>
      <c r="C948" s="36">
        <v>33.993400000000001</v>
      </c>
      <c r="D948" s="36">
        <v>33.993400000000001</v>
      </c>
      <c r="E948" s="36">
        <v>33.993400000000001</v>
      </c>
    </row>
    <row r="949" spans="1:5" x14ac:dyDescent="0.3">
      <c r="A949" s="1">
        <v>44432</v>
      </c>
      <c r="B949" s="37">
        <v>34.025799999999997</v>
      </c>
      <c r="C949" s="37">
        <v>34.025799999999997</v>
      </c>
      <c r="D949" s="37">
        <v>34.025799999999997</v>
      </c>
      <c r="E949" s="37">
        <v>34.025799999999997</v>
      </c>
    </row>
    <row r="950" spans="1:5" x14ac:dyDescent="0.3">
      <c r="A950" s="2">
        <v>44433</v>
      </c>
      <c r="B950" s="36">
        <v>34.058199999999999</v>
      </c>
      <c r="C950" s="36">
        <v>34.058199999999999</v>
      </c>
      <c r="D950" s="36">
        <v>34.058199999999999</v>
      </c>
      <c r="E950" s="36">
        <v>34.058199999999999</v>
      </c>
    </row>
    <row r="951" spans="1:5" x14ac:dyDescent="0.3">
      <c r="A951" s="1">
        <v>44434</v>
      </c>
      <c r="B951" s="37">
        <v>34.090699999999998</v>
      </c>
      <c r="C951" s="37">
        <v>34.090699999999998</v>
      </c>
      <c r="D951" s="37">
        <v>34.090699999999998</v>
      </c>
      <c r="E951" s="37">
        <v>34.090699999999998</v>
      </c>
    </row>
    <row r="952" spans="1:5" x14ac:dyDescent="0.3">
      <c r="A952" s="2">
        <v>44435</v>
      </c>
      <c r="B952" s="36">
        <v>34.1233</v>
      </c>
      <c r="C952" s="36">
        <v>34.1233</v>
      </c>
      <c r="D952" s="36">
        <v>34.1233</v>
      </c>
      <c r="E952" s="36">
        <v>34.1233</v>
      </c>
    </row>
    <row r="953" spans="1:5" x14ac:dyDescent="0.3">
      <c r="A953" s="1">
        <v>44436</v>
      </c>
      <c r="B953" s="37">
        <v>34.155799999999999</v>
      </c>
      <c r="C953" s="37">
        <v>34.155799999999999</v>
      </c>
      <c r="D953" s="37">
        <v>34.155799999999999</v>
      </c>
      <c r="E953" s="37">
        <v>34.155799999999999</v>
      </c>
    </row>
    <row r="954" spans="1:5" x14ac:dyDescent="0.3">
      <c r="A954" s="2">
        <v>44437</v>
      </c>
      <c r="B954" s="36">
        <v>34.188400000000001</v>
      </c>
      <c r="C954" s="36">
        <v>34.188400000000001</v>
      </c>
      <c r="D954" s="36">
        <v>34.188400000000001</v>
      </c>
      <c r="E954" s="36">
        <v>34.188400000000001</v>
      </c>
    </row>
    <row r="955" spans="1:5" x14ac:dyDescent="0.3">
      <c r="A955" s="1">
        <v>44438</v>
      </c>
      <c r="B955" s="37">
        <v>34.220999999999997</v>
      </c>
      <c r="C955" s="37">
        <v>34.220999999999997</v>
      </c>
      <c r="D955" s="37">
        <v>34.220999999999997</v>
      </c>
      <c r="E955" s="37">
        <v>34.220999999999997</v>
      </c>
    </row>
    <row r="956" spans="1:5" x14ac:dyDescent="0.3">
      <c r="A956" s="2">
        <v>44439</v>
      </c>
      <c r="B956" s="36">
        <v>34.253599999999999</v>
      </c>
      <c r="C956" s="36">
        <v>34.253599999999999</v>
      </c>
      <c r="D956" s="36">
        <v>34.253599999999999</v>
      </c>
      <c r="E956" s="36">
        <v>34.253599999999999</v>
      </c>
    </row>
    <row r="957" spans="1:5" x14ac:dyDescent="0.3">
      <c r="A957" s="1">
        <v>44440</v>
      </c>
      <c r="B957" s="37">
        <v>34.286299999999997</v>
      </c>
      <c r="C957" s="37">
        <v>34.286299999999997</v>
      </c>
      <c r="D957" s="37">
        <v>34.286299999999997</v>
      </c>
      <c r="E957" s="37">
        <v>34.286299999999997</v>
      </c>
    </row>
    <row r="958" spans="1:5" x14ac:dyDescent="0.3">
      <c r="A958" s="2">
        <v>44441</v>
      </c>
      <c r="B958" s="36">
        <v>34.319000000000003</v>
      </c>
      <c r="C958" s="36">
        <v>34.319000000000003</v>
      </c>
      <c r="D958" s="36">
        <v>34.319000000000003</v>
      </c>
      <c r="E958" s="36">
        <v>34.319000000000003</v>
      </c>
    </row>
    <row r="959" spans="1:5" x14ac:dyDescent="0.3">
      <c r="A959" s="1">
        <v>44442</v>
      </c>
      <c r="B959" s="37">
        <v>34.351799999999997</v>
      </c>
      <c r="C959" s="37">
        <v>34.351799999999997</v>
      </c>
      <c r="D959" s="37">
        <v>34.351799999999997</v>
      </c>
      <c r="E959" s="37">
        <v>34.351799999999997</v>
      </c>
    </row>
    <row r="960" spans="1:5" x14ac:dyDescent="0.3">
      <c r="A960" s="2">
        <v>44443</v>
      </c>
      <c r="B960" s="36">
        <v>34.384500000000003</v>
      </c>
      <c r="C960" s="36">
        <v>34.384500000000003</v>
      </c>
      <c r="D960" s="36">
        <v>34.384500000000003</v>
      </c>
      <c r="E960" s="36">
        <v>34.384500000000003</v>
      </c>
    </row>
    <row r="961" spans="1:5" x14ac:dyDescent="0.3">
      <c r="A961" s="1">
        <v>44444</v>
      </c>
      <c r="B961" s="37">
        <v>34.417299999999997</v>
      </c>
      <c r="C961" s="37">
        <v>34.417299999999997</v>
      </c>
      <c r="D961" s="37">
        <v>34.417299999999997</v>
      </c>
      <c r="E961" s="37">
        <v>34.417299999999997</v>
      </c>
    </row>
    <row r="962" spans="1:5" x14ac:dyDescent="0.3">
      <c r="A962" s="2">
        <v>44445</v>
      </c>
      <c r="B962" s="36">
        <v>34.450200000000002</v>
      </c>
      <c r="C962" s="36">
        <v>34.450200000000002</v>
      </c>
      <c r="D962" s="36">
        <v>34.450200000000002</v>
      </c>
      <c r="E962" s="36">
        <v>34.450200000000002</v>
      </c>
    </row>
    <row r="963" spans="1:5" x14ac:dyDescent="0.3">
      <c r="A963" s="1">
        <v>44446</v>
      </c>
      <c r="B963" s="37">
        <v>34.482999999999997</v>
      </c>
      <c r="C963" s="37">
        <v>34.482999999999997</v>
      </c>
      <c r="D963" s="37">
        <v>34.482999999999997</v>
      </c>
      <c r="E963" s="37">
        <v>34.482999999999997</v>
      </c>
    </row>
    <row r="964" spans="1:5" x14ac:dyDescent="0.3">
      <c r="A964" s="2">
        <v>44447</v>
      </c>
      <c r="B964" s="36">
        <v>34.515900000000002</v>
      </c>
      <c r="C964" s="36">
        <v>34.515900000000002</v>
      </c>
      <c r="D964" s="36">
        <v>34.515900000000002</v>
      </c>
      <c r="E964" s="36">
        <v>34.515900000000002</v>
      </c>
    </row>
    <row r="965" spans="1:5" x14ac:dyDescent="0.3">
      <c r="A965" s="1">
        <v>44448</v>
      </c>
      <c r="B965" s="37">
        <v>34.548900000000003</v>
      </c>
      <c r="C965" s="37">
        <v>34.548900000000003</v>
      </c>
      <c r="D965" s="37">
        <v>34.548900000000003</v>
      </c>
      <c r="E965" s="37">
        <v>34.548900000000003</v>
      </c>
    </row>
    <row r="966" spans="1:5" x14ac:dyDescent="0.3">
      <c r="A966" s="2">
        <v>44449</v>
      </c>
      <c r="B966" s="36">
        <v>34.581800000000001</v>
      </c>
      <c r="C966" s="36">
        <v>34.581800000000001</v>
      </c>
      <c r="D966" s="36">
        <v>34.581800000000001</v>
      </c>
      <c r="E966" s="36">
        <v>34.581800000000001</v>
      </c>
    </row>
    <row r="967" spans="1:5" x14ac:dyDescent="0.3">
      <c r="A967" s="1">
        <v>44450</v>
      </c>
      <c r="B967" s="37">
        <v>34.614800000000002</v>
      </c>
      <c r="C967" s="37">
        <v>34.614800000000002</v>
      </c>
      <c r="D967" s="37">
        <v>34.614800000000002</v>
      </c>
      <c r="E967" s="37">
        <v>34.614800000000002</v>
      </c>
    </row>
    <row r="968" spans="1:5" x14ac:dyDescent="0.3">
      <c r="A968" s="2">
        <v>44451</v>
      </c>
      <c r="B968" s="36">
        <v>34.647799999999997</v>
      </c>
      <c r="C968" s="36">
        <v>34.647799999999997</v>
      </c>
      <c r="D968" s="36">
        <v>34.647799999999997</v>
      </c>
      <c r="E968" s="36">
        <v>34.647799999999997</v>
      </c>
    </row>
    <row r="969" spans="1:5" x14ac:dyDescent="0.3">
      <c r="A969" s="1">
        <v>44452</v>
      </c>
      <c r="B969" s="37">
        <v>34.680900000000001</v>
      </c>
      <c r="C969" s="37">
        <v>34.680900000000001</v>
      </c>
      <c r="D969" s="37">
        <v>34.680900000000001</v>
      </c>
      <c r="E969" s="37">
        <v>34.680900000000001</v>
      </c>
    </row>
    <row r="970" spans="1:5" x14ac:dyDescent="0.3">
      <c r="A970" s="2">
        <v>44453</v>
      </c>
      <c r="B970" s="36">
        <v>34.713999999999999</v>
      </c>
      <c r="C970" s="36">
        <v>34.713999999999999</v>
      </c>
      <c r="D970" s="36">
        <v>34.713999999999999</v>
      </c>
      <c r="E970" s="36">
        <v>34.713999999999999</v>
      </c>
    </row>
    <row r="971" spans="1:5" x14ac:dyDescent="0.3">
      <c r="A971" s="1">
        <v>44454</v>
      </c>
      <c r="B971" s="37">
        <v>34.747100000000003</v>
      </c>
      <c r="C971" s="37">
        <v>34.747100000000003</v>
      </c>
      <c r="D971" s="37">
        <v>34.747100000000003</v>
      </c>
      <c r="E971" s="37">
        <v>34.747100000000003</v>
      </c>
    </row>
    <row r="972" spans="1:5" x14ac:dyDescent="0.3">
      <c r="A972" s="2">
        <v>44455</v>
      </c>
      <c r="B972" s="36">
        <v>34.775700000000001</v>
      </c>
      <c r="C972" s="36">
        <v>34.775700000000001</v>
      </c>
      <c r="D972" s="36">
        <v>34.775700000000001</v>
      </c>
      <c r="E972" s="36">
        <v>34.775700000000001</v>
      </c>
    </row>
    <row r="973" spans="1:5" x14ac:dyDescent="0.3">
      <c r="A973" s="1">
        <v>44456</v>
      </c>
      <c r="B973" s="37">
        <v>34.804299999999998</v>
      </c>
      <c r="C973" s="37">
        <v>34.804299999999998</v>
      </c>
      <c r="D973" s="37">
        <v>34.804299999999998</v>
      </c>
      <c r="E973" s="37">
        <v>34.804299999999998</v>
      </c>
    </row>
    <row r="974" spans="1:5" x14ac:dyDescent="0.3">
      <c r="A974" s="2">
        <v>44457</v>
      </c>
      <c r="B974" s="36">
        <v>34.832999999999998</v>
      </c>
      <c r="C974" s="36">
        <v>34.832999999999998</v>
      </c>
      <c r="D974" s="36">
        <v>34.832999999999998</v>
      </c>
      <c r="E974" s="36">
        <v>34.832999999999998</v>
      </c>
    </row>
    <row r="975" spans="1:5" x14ac:dyDescent="0.3">
      <c r="A975" s="1">
        <v>44458</v>
      </c>
      <c r="B975" s="37">
        <v>34.861699999999999</v>
      </c>
      <c r="C975" s="37">
        <v>34.861699999999999</v>
      </c>
      <c r="D975" s="37">
        <v>34.861699999999999</v>
      </c>
      <c r="E975" s="37">
        <v>34.861699999999999</v>
      </c>
    </row>
    <row r="976" spans="1:5" x14ac:dyDescent="0.3">
      <c r="A976" s="2">
        <v>44459</v>
      </c>
      <c r="B976" s="36">
        <v>34.8904</v>
      </c>
      <c r="C976" s="36">
        <v>34.8904</v>
      </c>
      <c r="D976" s="36">
        <v>34.8904</v>
      </c>
      <c r="E976" s="36">
        <v>34.8904</v>
      </c>
    </row>
    <row r="977" spans="1:5" x14ac:dyDescent="0.3">
      <c r="A977" s="1">
        <v>44460</v>
      </c>
      <c r="B977" s="37">
        <v>34.9191</v>
      </c>
      <c r="C977" s="37">
        <v>34.9191</v>
      </c>
      <c r="D977" s="37">
        <v>34.9191</v>
      </c>
      <c r="E977" s="37">
        <v>34.9191</v>
      </c>
    </row>
    <row r="978" spans="1:5" x14ac:dyDescent="0.3">
      <c r="A978" s="2">
        <v>44461</v>
      </c>
      <c r="B978" s="36">
        <v>34.947899999999997</v>
      </c>
      <c r="C978" s="36">
        <v>34.947899999999997</v>
      </c>
      <c r="D978" s="36">
        <v>34.947899999999997</v>
      </c>
      <c r="E978" s="36">
        <v>34.947899999999997</v>
      </c>
    </row>
    <row r="979" spans="1:5" x14ac:dyDescent="0.3">
      <c r="A979" s="1">
        <v>44462</v>
      </c>
      <c r="B979" s="37">
        <v>34.976599999999998</v>
      </c>
      <c r="C979" s="37">
        <v>34.976599999999998</v>
      </c>
      <c r="D979" s="37">
        <v>34.976599999999998</v>
      </c>
      <c r="E979" s="37">
        <v>34.976599999999998</v>
      </c>
    </row>
    <row r="980" spans="1:5" x14ac:dyDescent="0.3">
      <c r="A980" s="2">
        <v>44463</v>
      </c>
      <c r="B980" s="36">
        <v>35.005400000000002</v>
      </c>
      <c r="C980" s="36">
        <v>35.005400000000002</v>
      </c>
      <c r="D980" s="36">
        <v>35.005400000000002</v>
      </c>
      <c r="E980" s="36">
        <v>35.005400000000002</v>
      </c>
    </row>
    <row r="981" spans="1:5" x14ac:dyDescent="0.3">
      <c r="A981" s="1">
        <v>44464</v>
      </c>
      <c r="B981" s="37">
        <v>35.034300000000002</v>
      </c>
      <c r="C981" s="37">
        <v>35.034300000000002</v>
      </c>
      <c r="D981" s="37">
        <v>35.034300000000002</v>
      </c>
      <c r="E981" s="37">
        <v>35.034300000000002</v>
      </c>
    </row>
    <row r="982" spans="1:5" x14ac:dyDescent="0.3">
      <c r="A982" s="2">
        <v>44465</v>
      </c>
      <c r="B982" s="36">
        <v>35.063099999999999</v>
      </c>
      <c r="C982" s="36">
        <v>35.063099999999999</v>
      </c>
      <c r="D982" s="36">
        <v>35.063099999999999</v>
      </c>
      <c r="E982" s="36">
        <v>35.063099999999999</v>
      </c>
    </row>
    <row r="983" spans="1:5" x14ac:dyDescent="0.3">
      <c r="A983" s="1">
        <v>44466</v>
      </c>
      <c r="B983" s="37">
        <v>35.091999999999999</v>
      </c>
      <c r="C983" s="37">
        <v>35.091999999999999</v>
      </c>
      <c r="D983" s="37">
        <v>35.091999999999999</v>
      </c>
      <c r="E983" s="37">
        <v>35.091999999999999</v>
      </c>
    </row>
    <row r="984" spans="1:5" x14ac:dyDescent="0.3">
      <c r="A984" s="2">
        <v>44467</v>
      </c>
      <c r="B984" s="36">
        <v>35.120899999999999</v>
      </c>
      <c r="C984" s="36">
        <v>35.120899999999999</v>
      </c>
      <c r="D984" s="36">
        <v>35.120899999999999</v>
      </c>
      <c r="E984" s="36">
        <v>35.120899999999999</v>
      </c>
    </row>
    <row r="985" spans="1:5" x14ac:dyDescent="0.3">
      <c r="A985" s="1">
        <v>44468</v>
      </c>
      <c r="B985" s="37">
        <v>35.149799999999999</v>
      </c>
      <c r="C985" s="37">
        <v>35.149799999999999</v>
      </c>
      <c r="D985" s="37">
        <v>35.149799999999999</v>
      </c>
      <c r="E985" s="37">
        <v>35.149799999999999</v>
      </c>
    </row>
    <row r="986" spans="1:5" x14ac:dyDescent="0.3">
      <c r="A986" s="2">
        <v>44469</v>
      </c>
      <c r="B986" s="36">
        <v>35.178699999999999</v>
      </c>
      <c r="C986" s="36">
        <v>35.178699999999999</v>
      </c>
      <c r="D986" s="36">
        <v>35.178699999999999</v>
      </c>
      <c r="E986" s="36">
        <v>35.178699999999999</v>
      </c>
    </row>
    <row r="987" spans="1:5" x14ac:dyDescent="0.3">
      <c r="A987" s="1">
        <v>44470</v>
      </c>
      <c r="B987" s="37">
        <v>35.207700000000003</v>
      </c>
      <c r="C987" s="37">
        <v>35.207700000000003</v>
      </c>
      <c r="D987" s="37">
        <v>35.207700000000003</v>
      </c>
      <c r="E987" s="37">
        <v>35.207700000000003</v>
      </c>
    </row>
    <row r="988" spans="1:5" x14ac:dyDescent="0.3">
      <c r="A988" s="2">
        <v>44471</v>
      </c>
      <c r="B988" s="36">
        <v>35.236699999999999</v>
      </c>
      <c r="C988" s="36">
        <v>35.236699999999999</v>
      </c>
      <c r="D988" s="36">
        <v>35.236699999999999</v>
      </c>
      <c r="E988" s="36">
        <v>35.236699999999999</v>
      </c>
    </row>
    <row r="989" spans="1:5" x14ac:dyDescent="0.3">
      <c r="A989" s="1">
        <v>44472</v>
      </c>
      <c r="B989" s="37">
        <v>35.265700000000002</v>
      </c>
      <c r="C989" s="37">
        <v>35.265700000000002</v>
      </c>
      <c r="D989" s="37">
        <v>35.265700000000002</v>
      </c>
      <c r="E989" s="37">
        <v>35.265700000000002</v>
      </c>
    </row>
    <row r="990" spans="1:5" x14ac:dyDescent="0.3">
      <c r="A990" s="2">
        <v>44473</v>
      </c>
      <c r="B990" s="36">
        <v>35.294800000000002</v>
      </c>
      <c r="C990" s="36">
        <v>35.294800000000002</v>
      </c>
      <c r="D990" s="36">
        <v>35.294800000000002</v>
      </c>
      <c r="E990" s="36">
        <v>35.294800000000002</v>
      </c>
    </row>
    <row r="991" spans="1:5" x14ac:dyDescent="0.3">
      <c r="A991" s="1">
        <v>44474</v>
      </c>
      <c r="B991" s="37">
        <v>35.323799999999999</v>
      </c>
      <c r="C991" s="37">
        <v>35.323799999999999</v>
      </c>
      <c r="D991" s="37">
        <v>35.323799999999999</v>
      </c>
      <c r="E991" s="37">
        <v>35.323799999999999</v>
      </c>
    </row>
    <row r="992" spans="1:5" x14ac:dyDescent="0.3">
      <c r="A992" s="2">
        <v>44475</v>
      </c>
      <c r="B992" s="36">
        <v>35.352899999999998</v>
      </c>
      <c r="C992" s="36">
        <v>35.352899999999998</v>
      </c>
      <c r="D992" s="36">
        <v>35.352899999999998</v>
      </c>
      <c r="E992" s="36">
        <v>35.352899999999998</v>
      </c>
    </row>
    <row r="993" spans="1:5" x14ac:dyDescent="0.3">
      <c r="A993" s="1">
        <v>44476</v>
      </c>
      <c r="B993" s="37">
        <v>35.381999999999998</v>
      </c>
      <c r="C993" s="37">
        <v>35.381999999999998</v>
      </c>
      <c r="D993" s="37">
        <v>35.381999999999998</v>
      </c>
      <c r="E993" s="37">
        <v>35.381999999999998</v>
      </c>
    </row>
    <row r="994" spans="1:5" x14ac:dyDescent="0.3">
      <c r="A994" s="2">
        <v>44477</v>
      </c>
      <c r="B994" s="36">
        <v>35.411200000000001</v>
      </c>
      <c r="C994" s="36">
        <v>35.411200000000001</v>
      </c>
      <c r="D994" s="36">
        <v>35.411200000000001</v>
      </c>
      <c r="E994" s="36">
        <v>35.411200000000001</v>
      </c>
    </row>
    <row r="995" spans="1:5" x14ac:dyDescent="0.3">
      <c r="A995" s="1">
        <v>44478</v>
      </c>
      <c r="B995" s="37">
        <v>35.440300000000001</v>
      </c>
      <c r="C995" s="37">
        <v>35.440300000000001</v>
      </c>
      <c r="D995" s="37">
        <v>35.440300000000001</v>
      </c>
      <c r="E995" s="37">
        <v>35.440300000000001</v>
      </c>
    </row>
    <row r="996" spans="1:5" x14ac:dyDescent="0.3">
      <c r="A996" s="2">
        <v>44479</v>
      </c>
      <c r="B996" s="36">
        <v>35.469499999999996</v>
      </c>
      <c r="C996" s="36">
        <v>35.469499999999996</v>
      </c>
      <c r="D996" s="36">
        <v>35.469499999999996</v>
      </c>
      <c r="E996" s="36">
        <v>35.469499999999996</v>
      </c>
    </row>
    <row r="997" spans="1:5" x14ac:dyDescent="0.3">
      <c r="A997" s="1">
        <v>44480</v>
      </c>
      <c r="B997" s="37">
        <v>35.498699999999999</v>
      </c>
      <c r="C997" s="37">
        <v>35.498699999999999</v>
      </c>
      <c r="D997" s="37">
        <v>35.498699999999999</v>
      </c>
      <c r="E997" s="37">
        <v>35.498699999999999</v>
      </c>
    </row>
    <row r="998" spans="1:5" x14ac:dyDescent="0.3">
      <c r="A998" s="2">
        <v>44481</v>
      </c>
      <c r="B998" s="36">
        <v>35.527900000000002</v>
      </c>
      <c r="C998" s="36">
        <v>35.527900000000002</v>
      </c>
      <c r="D998" s="36">
        <v>35.527900000000002</v>
      </c>
      <c r="E998" s="36">
        <v>35.527900000000002</v>
      </c>
    </row>
    <row r="999" spans="1:5" x14ac:dyDescent="0.3">
      <c r="A999" s="1">
        <v>44482</v>
      </c>
      <c r="B999" s="37">
        <v>35.557200000000002</v>
      </c>
      <c r="C999" s="37">
        <v>35.557200000000002</v>
      </c>
      <c r="D999" s="37">
        <v>35.557200000000002</v>
      </c>
      <c r="E999" s="37">
        <v>35.557200000000002</v>
      </c>
    </row>
    <row r="1000" spans="1:5" x14ac:dyDescent="0.3">
      <c r="A1000" s="2">
        <v>44483</v>
      </c>
      <c r="B1000" s="36">
        <v>35.586500000000001</v>
      </c>
      <c r="C1000" s="36">
        <v>35.586500000000001</v>
      </c>
      <c r="D1000" s="36">
        <v>35.586500000000001</v>
      </c>
      <c r="E1000" s="36">
        <v>35.586500000000001</v>
      </c>
    </row>
    <row r="1001" spans="1:5" x14ac:dyDescent="0.3">
      <c r="A1001" s="1">
        <v>44484</v>
      </c>
      <c r="B1001" s="37">
        <v>35.6158</v>
      </c>
      <c r="C1001" s="37">
        <v>35.6158</v>
      </c>
      <c r="D1001" s="37">
        <v>35.6158</v>
      </c>
      <c r="E1001" s="37">
        <v>35.6158</v>
      </c>
    </row>
    <row r="1002" spans="1:5" x14ac:dyDescent="0.3">
      <c r="A1002" s="2">
        <v>44485</v>
      </c>
      <c r="B1002" s="36">
        <v>35.655299999999997</v>
      </c>
      <c r="C1002" s="36">
        <v>35.655299999999997</v>
      </c>
      <c r="D1002" s="36">
        <v>35.655299999999997</v>
      </c>
      <c r="E1002" s="36">
        <v>35.655299999999997</v>
      </c>
    </row>
    <row r="1003" spans="1:5" x14ac:dyDescent="0.3">
      <c r="A1003" s="1">
        <v>44486</v>
      </c>
      <c r="B1003" s="37">
        <v>35.694899999999997</v>
      </c>
      <c r="C1003" s="37">
        <v>35.694899999999997</v>
      </c>
      <c r="D1003" s="37">
        <v>35.694899999999997</v>
      </c>
      <c r="E1003" s="37">
        <v>35.694899999999997</v>
      </c>
    </row>
    <row r="1004" spans="1:5" x14ac:dyDescent="0.3">
      <c r="A1004" s="2">
        <v>44487</v>
      </c>
      <c r="B1004" s="36">
        <v>35.734499999999997</v>
      </c>
      <c r="C1004" s="36">
        <v>35.734499999999997</v>
      </c>
      <c r="D1004" s="36">
        <v>35.734499999999997</v>
      </c>
      <c r="E1004" s="36">
        <v>35.734499999999997</v>
      </c>
    </row>
    <row r="1005" spans="1:5" x14ac:dyDescent="0.3">
      <c r="A1005" s="1">
        <v>44488</v>
      </c>
      <c r="B1005" s="37">
        <v>35.7742</v>
      </c>
      <c r="C1005" s="37">
        <v>35.7742</v>
      </c>
      <c r="D1005" s="37">
        <v>35.7742</v>
      </c>
      <c r="E1005" s="37">
        <v>35.7742</v>
      </c>
    </row>
    <row r="1006" spans="1:5" x14ac:dyDescent="0.3">
      <c r="A1006" s="2">
        <v>44489</v>
      </c>
      <c r="B1006" s="36">
        <v>35.813899999999997</v>
      </c>
      <c r="C1006" s="36">
        <v>35.813899999999997</v>
      </c>
      <c r="D1006" s="36">
        <v>35.813899999999997</v>
      </c>
      <c r="E1006" s="36">
        <v>35.813899999999997</v>
      </c>
    </row>
    <row r="1007" spans="1:5" x14ac:dyDescent="0.3">
      <c r="A1007" s="1">
        <v>44490</v>
      </c>
      <c r="B1007" s="37">
        <v>35.853700000000003</v>
      </c>
      <c r="C1007" s="37">
        <v>35.853700000000003</v>
      </c>
      <c r="D1007" s="37">
        <v>35.853700000000003</v>
      </c>
      <c r="E1007" s="37">
        <v>35.853700000000003</v>
      </c>
    </row>
    <row r="1008" spans="1:5" x14ac:dyDescent="0.3">
      <c r="A1008" s="2">
        <v>44491</v>
      </c>
      <c r="B1008" s="36">
        <v>35.893500000000003</v>
      </c>
      <c r="C1008" s="36">
        <v>35.893500000000003</v>
      </c>
      <c r="D1008" s="36">
        <v>35.893500000000003</v>
      </c>
      <c r="E1008" s="36">
        <v>35.893500000000003</v>
      </c>
    </row>
    <row r="1009" spans="1:5" x14ac:dyDescent="0.3">
      <c r="A1009" s="1">
        <v>44492</v>
      </c>
      <c r="B1009" s="37">
        <v>35.933399999999999</v>
      </c>
      <c r="C1009" s="37">
        <v>35.933399999999999</v>
      </c>
      <c r="D1009" s="37">
        <v>35.933399999999999</v>
      </c>
      <c r="E1009" s="37">
        <v>35.933399999999999</v>
      </c>
    </row>
    <row r="1010" spans="1:5" x14ac:dyDescent="0.3">
      <c r="A1010" s="2">
        <v>44493</v>
      </c>
      <c r="B1010" s="36">
        <v>35.973300000000002</v>
      </c>
      <c r="C1010" s="36">
        <v>35.973300000000002</v>
      </c>
      <c r="D1010" s="36">
        <v>35.973300000000002</v>
      </c>
      <c r="E1010" s="36">
        <v>35.973300000000002</v>
      </c>
    </row>
    <row r="1011" spans="1:5" x14ac:dyDescent="0.3">
      <c r="A1011" s="1">
        <v>44494</v>
      </c>
      <c r="B1011" s="37">
        <v>36.013199999999998</v>
      </c>
      <c r="C1011" s="37">
        <v>36.013199999999998</v>
      </c>
      <c r="D1011" s="37">
        <v>36.013199999999998</v>
      </c>
      <c r="E1011" s="37">
        <v>36.013199999999998</v>
      </c>
    </row>
    <row r="1012" spans="1:5" x14ac:dyDescent="0.3">
      <c r="A1012" s="2">
        <v>44495</v>
      </c>
      <c r="B1012" s="36">
        <v>36.053199999999997</v>
      </c>
      <c r="C1012" s="36">
        <v>36.053199999999997</v>
      </c>
      <c r="D1012" s="36">
        <v>36.053199999999997</v>
      </c>
      <c r="E1012" s="36">
        <v>36.053199999999997</v>
      </c>
    </row>
    <row r="1013" spans="1:5" x14ac:dyDescent="0.3">
      <c r="A1013" s="1">
        <v>44496</v>
      </c>
      <c r="B1013" s="37">
        <v>36.093200000000003</v>
      </c>
      <c r="C1013" s="37">
        <v>36.093200000000003</v>
      </c>
      <c r="D1013" s="37">
        <v>36.093200000000003</v>
      </c>
      <c r="E1013" s="37">
        <v>36.093200000000003</v>
      </c>
    </row>
    <row r="1014" spans="1:5" x14ac:dyDescent="0.3">
      <c r="A1014" s="2">
        <v>44497</v>
      </c>
      <c r="B1014" s="36">
        <v>36.133299999999998</v>
      </c>
      <c r="C1014" s="36">
        <v>36.133299999999998</v>
      </c>
      <c r="D1014" s="36">
        <v>36.133299999999998</v>
      </c>
      <c r="E1014" s="36">
        <v>36.133299999999998</v>
      </c>
    </row>
    <row r="1015" spans="1:5" x14ac:dyDescent="0.3">
      <c r="A1015" s="1">
        <v>44498</v>
      </c>
      <c r="B1015" s="37">
        <v>36.173400000000001</v>
      </c>
      <c r="C1015" s="37">
        <v>36.173400000000001</v>
      </c>
      <c r="D1015" s="37">
        <v>36.173400000000001</v>
      </c>
      <c r="E1015" s="37">
        <v>36.173400000000001</v>
      </c>
    </row>
    <row r="1016" spans="1:5" x14ac:dyDescent="0.3">
      <c r="A1016" s="2">
        <v>44499</v>
      </c>
      <c r="B1016" s="36">
        <v>36.2136</v>
      </c>
      <c r="C1016" s="36">
        <v>36.2136</v>
      </c>
      <c r="D1016" s="36">
        <v>36.2136</v>
      </c>
      <c r="E1016" s="36">
        <v>36.2136</v>
      </c>
    </row>
    <row r="1017" spans="1:5" x14ac:dyDescent="0.3">
      <c r="A1017" s="1">
        <v>44500</v>
      </c>
      <c r="B1017" s="37">
        <v>36.253799999999998</v>
      </c>
      <c r="C1017" s="37">
        <v>36.253799999999998</v>
      </c>
      <c r="D1017" s="37">
        <v>36.253799999999998</v>
      </c>
      <c r="E1017" s="37">
        <v>36.253799999999998</v>
      </c>
    </row>
    <row r="1018" spans="1:5" x14ac:dyDescent="0.3">
      <c r="A1018" s="2">
        <v>44501</v>
      </c>
      <c r="B1018" s="36">
        <v>36.293999999999997</v>
      </c>
      <c r="C1018" s="36">
        <v>36.293999999999997</v>
      </c>
      <c r="D1018" s="36">
        <v>36.293999999999997</v>
      </c>
      <c r="E1018" s="36">
        <v>36.293999999999997</v>
      </c>
    </row>
    <row r="1019" spans="1:5" x14ac:dyDescent="0.3">
      <c r="A1019" s="1">
        <v>44502</v>
      </c>
      <c r="B1019" s="37">
        <v>36.334299999999999</v>
      </c>
      <c r="C1019" s="37">
        <v>36.334299999999999</v>
      </c>
      <c r="D1019" s="37">
        <v>36.334299999999999</v>
      </c>
      <c r="E1019" s="37">
        <v>36.334299999999999</v>
      </c>
    </row>
    <row r="1020" spans="1:5" x14ac:dyDescent="0.3">
      <c r="A1020" s="2">
        <v>44503</v>
      </c>
      <c r="B1020" s="36">
        <v>36.374699999999997</v>
      </c>
      <c r="C1020" s="36">
        <v>36.374699999999997</v>
      </c>
      <c r="D1020" s="36">
        <v>36.374699999999997</v>
      </c>
      <c r="E1020" s="36">
        <v>36.374699999999997</v>
      </c>
    </row>
    <row r="1021" spans="1:5" x14ac:dyDescent="0.3">
      <c r="A1021" s="1">
        <v>44504</v>
      </c>
      <c r="B1021" s="37">
        <v>36.415100000000002</v>
      </c>
      <c r="C1021" s="37">
        <v>36.415100000000002</v>
      </c>
      <c r="D1021" s="37">
        <v>36.415100000000002</v>
      </c>
      <c r="E1021" s="37">
        <v>36.415100000000002</v>
      </c>
    </row>
    <row r="1022" spans="1:5" x14ac:dyDescent="0.3">
      <c r="A1022" s="2">
        <v>44505</v>
      </c>
      <c r="B1022" s="36">
        <v>36.455500000000001</v>
      </c>
      <c r="C1022" s="36">
        <v>36.455500000000001</v>
      </c>
      <c r="D1022" s="36">
        <v>36.455500000000001</v>
      </c>
      <c r="E1022" s="36">
        <v>36.455500000000001</v>
      </c>
    </row>
    <row r="1023" spans="1:5" x14ac:dyDescent="0.3">
      <c r="A1023" s="1">
        <v>44506</v>
      </c>
      <c r="B1023" s="37">
        <v>36.496000000000002</v>
      </c>
      <c r="C1023" s="37">
        <v>36.496000000000002</v>
      </c>
      <c r="D1023" s="37">
        <v>36.496000000000002</v>
      </c>
      <c r="E1023" s="37">
        <v>36.496000000000002</v>
      </c>
    </row>
    <row r="1024" spans="1:5" x14ac:dyDescent="0.3">
      <c r="A1024" s="2">
        <v>44507</v>
      </c>
      <c r="B1024" s="36">
        <v>36.536499999999997</v>
      </c>
      <c r="C1024" s="36">
        <v>36.536499999999997</v>
      </c>
      <c r="D1024" s="36">
        <v>36.536499999999997</v>
      </c>
      <c r="E1024" s="36">
        <v>36.536499999999997</v>
      </c>
    </row>
    <row r="1025" spans="1:5" x14ac:dyDescent="0.3">
      <c r="A1025" s="1">
        <v>44508</v>
      </c>
      <c r="B1025" s="37">
        <v>36.577100000000002</v>
      </c>
      <c r="C1025" s="37">
        <v>36.577100000000002</v>
      </c>
      <c r="D1025" s="37">
        <v>36.577100000000002</v>
      </c>
      <c r="E1025" s="37">
        <v>36.577100000000002</v>
      </c>
    </row>
    <row r="1026" spans="1:5" x14ac:dyDescent="0.3">
      <c r="A1026" s="2">
        <v>44509</v>
      </c>
      <c r="B1026" s="36">
        <v>36.617699999999999</v>
      </c>
      <c r="C1026" s="36">
        <v>36.617699999999999</v>
      </c>
      <c r="D1026" s="36">
        <v>36.617699999999999</v>
      </c>
      <c r="E1026" s="36">
        <v>36.617699999999999</v>
      </c>
    </row>
    <row r="1027" spans="1:5" x14ac:dyDescent="0.3">
      <c r="A1027" s="1">
        <v>44510</v>
      </c>
      <c r="B1027" s="37">
        <v>36.658299999999997</v>
      </c>
      <c r="C1027" s="37">
        <v>36.658299999999997</v>
      </c>
      <c r="D1027" s="37">
        <v>36.658299999999997</v>
      </c>
      <c r="E1027" s="37">
        <v>36.658299999999997</v>
      </c>
    </row>
    <row r="1028" spans="1:5" x14ac:dyDescent="0.3">
      <c r="A1028" s="2">
        <v>44511</v>
      </c>
      <c r="B1028" s="36">
        <v>36.699100000000001</v>
      </c>
      <c r="C1028" s="36">
        <v>36.699100000000001</v>
      </c>
      <c r="D1028" s="36">
        <v>36.699100000000001</v>
      </c>
      <c r="E1028" s="36">
        <v>36.699100000000001</v>
      </c>
    </row>
    <row r="1029" spans="1:5" x14ac:dyDescent="0.3">
      <c r="A1029" s="1">
        <v>44512</v>
      </c>
      <c r="B1029" s="37">
        <v>36.739800000000002</v>
      </c>
      <c r="C1029" s="37">
        <v>36.739800000000002</v>
      </c>
      <c r="D1029" s="37">
        <v>36.739800000000002</v>
      </c>
      <c r="E1029" s="37">
        <v>36.739800000000002</v>
      </c>
    </row>
    <row r="1030" spans="1:5" x14ac:dyDescent="0.3">
      <c r="A1030" s="2">
        <v>44513</v>
      </c>
      <c r="B1030" s="36">
        <v>36.7806</v>
      </c>
      <c r="C1030" s="36">
        <v>36.7806</v>
      </c>
      <c r="D1030" s="36">
        <v>36.7806</v>
      </c>
      <c r="E1030" s="36">
        <v>36.7806</v>
      </c>
    </row>
    <row r="1031" spans="1:5" x14ac:dyDescent="0.3">
      <c r="A1031" s="1">
        <v>44514</v>
      </c>
      <c r="B1031" s="37">
        <v>36.821399999999997</v>
      </c>
      <c r="C1031" s="37">
        <v>36.821399999999997</v>
      </c>
      <c r="D1031" s="37">
        <v>36.821399999999997</v>
      </c>
      <c r="E1031" s="37">
        <v>36.821399999999997</v>
      </c>
    </row>
    <row r="1032" spans="1:5" x14ac:dyDescent="0.3">
      <c r="A1032" s="2">
        <v>44515</v>
      </c>
      <c r="B1032" s="36">
        <v>36.862299999999998</v>
      </c>
      <c r="C1032" s="36">
        <v>36.862299999999998</v>
      </c>
      <c r="D1032" s="36">
        <v>36.862299999999998</v>
      </c>
      <c r="E1032" s="36">
        <v>36.862299999999998</v>
      </c>
    </row>
    <row r="1033" spans="1:5" x14ac:dyDescent="0.3">
      <c r="A1033" s="1">
        <v>44516</v>
      </c>
      <c r="B1033" s="37">
        <v>36.904600000000002</v>
      </c>
      <c r="C1033" s="37">
        <v>36.904600000000002</v>
      </c>
      <c r="D1033" s="37">
        <v>36.904600000000002</v>
      </c>
      <c r="E1033" s="37">
        <v>36.904600000000002</v>
      </c>
    </row>
    <row r="1034" spans="1:5" x14ac:dyDescent="0.3">
      <c r="A1034" s="2">
        <v>44517</v>
      </c>
      <c r="B1034" s="36">
        <v>36.947000000000003</v>
      </c>
      <c r="C1034" s="36">
        <v>36.947000000000003</v>
      </c>
      <c r="D1034" s="36">
        <v>36.947000000000003</v>
      </c>
      <c r="E1034" s="36">
        <v>36.947000000000003</v>
      </c>
    </row>
    <row r="1035" spans="1:5" x14ac:dyDescent="0.3">
      <c r="A1035" s="1">
        <v>44518</v>
      </c>
      <c r="B1035" s="37">
        <v>36.9893</v>
      </c>
      <c r="C1035" s="37">
        <v>36.9893</v>
      </c>
      <c r="D1035" s="37">
        <v>36.9893</v>
      </c>
      <c r="E1035" s="37">
        <v>36.9893</v>
      </c>
    </row>
    <row r="1036" spans="1:5" x14ac:dyDescent="0.3">
      <c r="A1036" s="2">
        <v>44519</v>
      </c>
      <c r="B1036" s="36">
        <v>37.031799999999997</v>
      </c>
      <c r="C1036" s="36">
        <v>37.031799999999997</v>
      </c>
      <c r="D1036" s="36">
        <v>37.031799999999997</v>
      </c>
      <c r="E1036" s="36">
        <v>37.031799999999997</v>
      </c>
    </row>
    <row r="1037" spans="1:5" x14ac:dyDescent="0.3">
      <c r="A1037" s="1">
        <v>44520</v>
      </c>
      <c r="B1037" s="37">
        <v>37.074300000000001</v>
      </c>
      <c r="C1037" s="37">
        <v>37.074300000000001</v>
      </c>
      <c r="D1037" s="37">
        <v>37.074300000000001</v>
      </c>
      <c r="E1037" s="37">
        <v>37.074300000000001</v>
      </c>
    </row>
    <row r="1038" spans="1:5" x14ac:dyDescent="0.3">
      <c r="A1038" s="2">
        <v>44521</v>
      </c>
      <c r="B1038" s="36">
        <v>37.116799999999998</v>
      </c>
      <c r="C1038" s="36">
        <v>37.116799999999998</v>
      </c>
      <c r="D1038" s="36">
        <v>37.116799999999998</v>
      </c>
      <c r="E1038" s="36">
        <v>37.116799999999998</v>
      </c>
    </row>
    <row r="1039" spans="1:5" x14ac:dyDescent="0.3">
      <c r="A1039" s="1">
        <v>44522</v>
      </c>
      <c r="B1039" s="37">
        <v>37.159399999999998</v>
      </c>
      <c r="C1039" s="37">
        <v>37.159399999999998</v>
      </c>
      <c r="D1039" s="37">
        <v>37.159399999999998</v>
      </c>
      <c r="E1039" s="37">
        <v>37.159399999999998</v>
      </c>
    </row>
    <row r="1040" spans="1:5" x14ac:dyDescent="0.3">
      <c r="A1040" s="2">
        <v>44523</v>
      </c>
      <c r="B1040" s="36">
        <v>37.201999999999998</v>
      </c>
      <c r="C1040" s="36">
        <v>37.201999999999998</v>
      </c>
      <c r="D1040" s="36">
        <v>37.201999999999998</v>
      </c>
      <c r="E1040" s="36">
        <v>37.201999999999998</v>
      </c>
    </row>
    <row r="1041" spans="1:5" x14ac:dyDescent="0.3">
      <c r="A1041" s="1">
        <v>44524</v>
      </c>
      <c r="B1041" s="37">
        <v>37.244700000000002</v>
      </c>
      <c r="C1041" s="37">
        <v>37.244700000000002</v>
      </c>
      <c r="D1041" s="37">
        <v>37.244700000000002</v>
      </c>
      <c r="E1041" s="37">
        <v>37.244700000000002</v>
      </c>
    </row>
    <row r="1042" spans="1:5" x14ac:dyDescent="0.3">
      <c r="A1042" s="2">
        <v>44525</v>
      </c>
      <c r="B1042" s="36">
        <v>37.287500000000001</v>
      </c>
      <c r="C1042" s="36">
        <v>37.287500000000001</v>
      </c>
      <c r="D1042" s="36">
        <v>37.287500000000001</v>
      </c>
      <c r="E1042" s="36">
        <v>37.287500000000001</v>
      </c>
    </row>
    <row r="1043" spans="1:5" x14ac:dyDescent="0.3">
      <c r="A1043" s="1">
        <v>44526</v>
      </c>
      <c r="B1043" s="37">
        <v>37.330199999999998</v>
      </c>
      <c r="C1043" s="37">
        <v>37.330199999999998</v>
      </c>
      <c r="D1043" s="37">
        <v>37.330199999999998</v>
      </c>
      <c r="E1043" s="37">
        <v>37.330199999999998</v>
      </c>
    </row>
    <row r="1044" spans="1:5" x14ac:dyDescent="0.3">
      <c r="A1044" s="2">
        <v>44527</v>
      </c>
      <c r="B1044" s="36">
        <v>37.373100000000001</v>
      </c>
      <c r="C1044" s="36">
        <v>37.373100000000001</v>
      </c>
      <c r="D1044" s="36">
        <v>37.373100000000001</v>
      </c>
      <c r="E1044" s="36">
        <v>37.373100000000001</v>
      </c>
    </row>
    <row r="1045" spans="1:5" x14ac:dyDescent="0.3">
      <c r="A1045" s="1">
        <v>44528</v>
      </c>
      <c r="B1045" s="37">
        <v>37.415999999999997</v>
      </c>
      <c r="C1045" s="37">
        <v>37.415999999999997</v>
      </c>
      <c r="D1045" s="37">
        <v>37.415999999999997</v>
      </c>
      <c r="E1045" s="37">
        <v>37.415999999999997</v>
      </c>
    </row>
    <row r="1046" spans="1:5" x14ac:dyDescent="0.3">
      <c r="A1046" s="2">
        <v>44529</v>
      </c>
      <c r="B1046" s="36">
        <v>37.4589</v>
      </c>
      <c r="C1046" s="36">
        <v>37.4589</v>
      </c>
      <c r="D1046" s="36">
        <v>37.4589</v>
      </c>
      <c r="E1046" s="36">
        <v>37.4589</v>
      </c>
    </row>
    <row r="1047" spans="1:5" x14ac:dyDescent="0.3">
      <c r="A1047" s="1">
        <v>44530</v>
      </c>
      <c r="B1047" s="37">
        <v>37.501899999999999</v>
      </c>
      <c r="C1047" s="37">
        <v>37.501899999999999</v>
      </c>
      <c r="D1047" s="37">
        <v>37.501899999999999</v>
      </c>
      <c r="E1047" s="37">
        <v>37.501899999999999</v>
      </c>
    </row>
    <row r="1048" spans="1:5" x14ac:dyDescent="0.3">
      <c r="A1048" s="2">
        <v>44531</v>
      </c>
      <c r="B1048" s="36">
        <v>37.544899999999998</v>
      </c>
      <c r="C1048" s="36">
        <v>37.544899999999998</v>
      </c>
      <c r="D1048" s="36">
        <v>37.544899999999998</v>
      </c>
      <c r="E1048" s="36">
        <v>37.544899999999998</v>
      </c>
    </row>
    <row r="1049" spans="1:5" x14ac:dyDescent="0.3">
      <c r="A1049" s="1">
        <v>44532</v>
      </c>
      <c r="B1049" s="37">
        <v>37.588000000000001</v>
      </c>
      <c r="C1049" s="37">
        <v>37.588000000000001</v>
      </c>
      <c r="D1049" s="37">
        <v>37.588000000000001</v>
      </c>
      <c r="E1049" s="37">
        <v>37.588000000000001</v>
      </c>
    </row>
    <row r="1050" spans="1:5" x14ac:dyDescent="0.3">
      <c r="A1050" s="2">
        <v>44533</v>
      </c>
      <c r="B1050" s="36">
        <v>37.631100000000004</v>
      </c>
      <c r="C1050" s="36">
        <v>37.631100000000004</v>
      </c>
      <c r="D1050" s="36">
        <v>37.631100000000004</v>
      </c>
      <c r="E1050" s="36">
        <v>37.631100000000004</v>
      </c>
    </row>
    <row r="1051" spans="1:5" x14ac:dyDescent="0.3">
      <c r="A1051" s="1">
        <v>44534</v>
      </c>
      <c r="B1051" s="37">
        <v>37.674300000000002</v>
      </c>
      <c r="C1051" s="37">
        <v>37.674300000000002</v>
      </c>
      <c r="D1051" s="37">
        <v>37.674300000000002</v>
      </c>
      <c r="E1051" s="37">
        <v>37.674300000000002</v>
      </c>
    </row>
    <row r="1052" spans="1:5" x14ac:dyDescent="0.3">
      <c r="A1052" s="2">
        <v>44535</v>
      </c>
      <c r="B1052" s="36">
        <v>37.717500000000001</v>
      </c>
      <c r="C1052" s="36">
        <v>37.717500000000001</v>
      </c>
      <c r="D1052" s="36">
        <v>37.717500000000001</v>
      </c>
      <c r="E1052" s="36">
        <v>37.717500000000001</v>
      </c>
    </row>
    <row r="1053" spans="1:5" x14ac:dyDescent="0.3">
      <c r="A1053" s="1">
        <v>44536</v>
      </c>
      <c r="B1053" s="37">
        <v>37.760800000000003</v>
      </c>
      <c r="C1053" s="37">
        <v>37.760800000000003</v>
      </c>
      <c r="D1053" s="37">
        <v>37.760800000000003</v>
      </c>
      <c r="E1053" s="37">
        <v>37.760800000000003</v>
      </c>
    </row>
    <row r="1054" spans="1:5" x14ac:dyDescent="0.3">
      <c r="A1054" s="2">
        <v>44537</v>
      </c>
      <c r="B1054" s="36">
        <v>37.804099999999998</v>
      </c>
      <c r="C1054" s="36">
        <v>37.804099999999998</v>
      </c>
      <c r="D1054" s="36">
        <v>37.804099999999998</v>
      </c>
      <c r="E1054" s="36">
        <v>37.804099999999998</v>
      </c>
    </row>
    <row r="1055" spans="1:5" x14ac:dyDescent="0.3">
      <c r="A1055" s="1">
        <v>44538</v>
      </c>
      <c r="B1055" s="37">
        <v>37.847499999999997</v>
      </c>
      <c r="C1055" s="37">
        <v>37.847499999999997</v>
      </c>
      <c r="D1055" s="37">
        <v>37.847499999999997</v>
      </c>
      <c r="E1055" s="37">
        <v>37.847499999999997</v>
      </c>
    </row>
    <row r="1056" spans="1:5" x14ac:dyDescent="0.3">
      <c r="A1056" s="2">
        <v>44539</v>
      </c>
      <c r="B1056" s="36">
        <v>37.890900000000002</v>
      </c>
      <c r="C1056" s="36">
        <v>37.890900000000002</v>
      </c>
      <c r="D1056" s="36">
        <v>37.890900000000002</v>
      </c>
      <c r="E1056" s="36">
        <v>37.890900000000002</v>
      </c>
    </row>
    <row r="1057" spans="1:5" x14ac:dyDescent="0.3">
      <c r="A1057" s="1">
        <v>44540</v>
      </c>
      <c r="B1057" s="37">
        <v>37.934399999999997</v>
      </c>
      <c r="C1057" s="37">
        <v>37.934399999999997</v>
      </c>
      <c r="D1057" s="37">
        <v>37.934399999999997</v>
      </c>
      <c r="E1057" s="37">
        <v>37.934399999999997</v>
      </c>
    </row>
    <row r="1058" spans="1:5" x14ac:dyDescent="0.3">
      <c r="A1058" s="2">
        <v>44541</v>
      </c>
      <c r="B1058" s="36">
        <v>37.977899999999998</v>
      </c>
      <c r="C1058" s="36">
        <v>37.977899999999998</v>
      </c>
      <c r="D1058" s="36">
        <v>37.977899999999998</v>
      </c>
      <c r="E1058" s="36">
        <v>37.977899999999998</v>
      </c>
    </row>
    <row r="1059" spans="1:5" x14ac:dyDescent="0.3">
      <c r="A1059" s="1">
        <v>44542</v>
      </c>
      <c r="B1059" s="37">
        <v>38.021500000000003</v>
      </c>
      <c r="C1059" s="37">
        <v>38.021500000000003</v>
      </c>
      <c r="D1059" s="37">
        <v>38.021500000000003</v>
      </c>
      <c r="E1059" s="37">
        <v>38.021500000000003</v>
      </c>
    </row>
    <row r="1060" spans="1:5" x14ac:dyDescent="0.3">
      <c r="A1060" s="2">
        <v>44543</v>
      </c>
      <c r="B1060" s="36">
        <v>38.065100000000001</v>
      </c>
      <c r="C1060" s="36">
        <v>38.065100000000001</v>
      </c>
      <c r="D1060" s="36">
        <v>38.065100000000001</v>
      </c>
      <c r="E1060" s="36">
        <v>38.065100000000001</v>
      </c>
    </row>
    <row r="1061" spans="1:5" x14ac:dyDescent="0.3">
      <c r="A1061" s="1">
        <v>44544</v>
      </c>
      <c r="B1061" s="37">
        <v>38.108800000000002</v>
      </c>
      <c r="C1061" s="37">
        <v>38.108800000000002</v>
      </c>
      <c r="D1061" s="37">
        <v>38.108800000000002</v>
      </c>
      <c r="E1061" s="37">
        <v>38.108800000000002</v>
      </c>
    </row>
    <row r="1062" spans="1:5" x14ac:dyDescent="0.3">
      <c r="A1062" s="2">
        <v>44545</v>
      </c>
      <c r="B1062" s="36">
        <v>38.152500000000003</v>
      </c>
      <c r="C1062" s="36">
        <v>38.152500000000003</v>
      </c>
      <c r="D1062" s="36">
        <v>38.152500000000003</v>
      </c>
      <c r="E1062" s="36">
        <v>38.152500000000003</v>
      </c>
    </row>
    <row r="1063" spans="1:5" x14ac:dyDescent="0.3">
      <c r="A1063" s="1">
        <v>44546</v>
      </c>
      <c r="B1063" s="37">
        <v>38.182899999999997</v>
      </c>
      <c r="C1063" s="37">
        <v>38.182899999999997</v>
      </c>
      <c r="D1063" s="37">
        <v>38.182899999999997</v>
      </c>
      <c r="E1063" s="37">
        <v>38.182899999999997</v>
      </c>
    </row>
    <row r="1064" spans="1:5" x14ac:dyDescent="0.3">
      <c r="A1064" s="2">
        <v>44547</v>
      </c>
      <c r="B1064" s="36">
        <v>38.213299999999997</v>
      </c>
      <c r="C1064" s="36">
        <v>38.213299999999997</v>
      </c>
      <c r="D1064" s="36">
        <v>38.213299999999997</v>
      </c>
      <c r="E1064" s="36">
        <v>38.213299999999997</v>
      </c>
    </row>
    <row r="1065" spans="1:5" x14ac:dyDescent="0.3">
      <c r="A1065" s="1">
        <v>44548</v>
      </c>
      <c r="B1065" s="37">
        <v>38.2438</v>
      </c>
      <c r="C1065" s="37">
        <v>38.2438</v>
      </c>
      <c r="D1065" s="37">
        <v>38.2438</v>
      </c>
      <c r="E1065" s="37">
        <v>38.2438</v>
      </c>
    </row>
    <row r="1066" spans="1:5" x14ac:dyDescent="0.3">
      <c r="A1066" s="2">
        <v>44549</v>
      </c>
      <c r="B1066" s="36">
        <v>38.274299999999997</v>
      </c>
      <c r="C1066" s="36">
        <v>38.274299999999997</v>
      </c>
      <c r="D1066" s="36">
        <v>38.274299999999997</v>
      </c>
      <c r="E1066" s="36">
        <v>38.274299999999997</v>
      </c>
    </row>
    <row r="1067" spans="1:5" x14ac:dyDescent="0.3">
      <c r="A1067" s="1">
        <v>44550</v>
      </c>
      <c r="B1067" s="37">
        <v>38.3048</v>
      </c>
      <c r="C1067" s="37">
        <v>38.3048</v>
      </c>
      <c r="D1067" s="37">
        <v>38.3048</v>
      </c>
      <c r="E1067" s="37">
        <v>38.3048</v>
      </c>
    </row>
    <row r="1068" spans="1:5" x14ac:dyDescent="0.3">
      <c r="A1068" s="2">
        <v>44551</v>
      </c>
      <c r="B1068" s="36">
        <v>38.335299999999997</v>
      </c>
      <c r="C1068" s="36">
        <v>38.335299999999997</v>
      </c>
      <c r="D1068" s="36">
        <v>38.335299999999997</v>
      </c>
      <c r="E1068" s="36">
        <v>38.335299999999997</v>
      </c>
    </row>
    <row r="1069" spans="1:5" x14ac:dyDescent="0.3">
      <c r="A1069" s="1">
        <v>44552</v>
      </c>
      <c r="B1069" s="37">
        <v>38.3658</v>
      </c>
      <c r="C1069" s="37">
        <v>38.3658</v>
      </c>
      <c r="D1069" s="37">
        <v>38.3658</v>
      </c>
      <c r="E1069" s="37">
        <v>38.3658</v>
      </c>
    </row>
    <row r="1070" spans="1:5" x14ac:dyDescent="0.3">
      <c r="A1070" s="2">
        <v>44553</v>
      </c>
      <c r="B1070" s="36">
        <v>38.3964</v>
      </c>
      <c r="C1070" s="36">
        <v>38.3964</v>
      </c>
      <c r="D1070" s="36">
        <v>38.3964</v>
      </c>
      <c r="E1070" s="36">
        <v>38.3964</v>
      </c>
    </row>
    <row r="1071" spans="1:5" x14ac:dyDescent="0.3">
      <c r="A1071" s="1">
        <v>44554</v>
      </c>
      <c r="B1071" s="37">
        <v>38.427</v>
      </c>
      <c r="C1071" s="37">
        <v>38.427</v>
      </c>
      <c r="D1071" s="37">
        <v>38.427</v>
      </c>
      <c r="E1071" s="37">
        <v>38.427</v>
      </c>
    </row>
    <row r="1072" spans="1:5" x14ac:dyDescent="0.3">
      <c r="A1072" s="2">
        <v>44555</v>
      </c>
      <c r="B1072" s="36">
        <v>38.457599999999999</v>
      </c>
      <c r="C1072" s="36">
        <v>38.457599999999999</v>
      </c>
      <c r="D1072" s="36">
        <v>38.457599999999999</v>
      </c>
      <c r="E1072" s="36">
        <v>38.457599999999999</v>
      </c>
    </row>
    <row r="1073" spans="1:5" x14ac:dyDescent="0.3">
      <c r="A1073" s="1">
        <v>44556</v>
      </c>
      <c r="B1073" s="37">
        <v>38.488300000000002</v>
      </c>
      <c r="C1073" s="37">
        <v>38.488300000000002</v>
      </c>
      <c r="D1073" s="37">
        <v>38.488300000000002</v>
      </c>
      <c r="E1073" s="37">
        <v>38.488300000000002</v>
      </c>
    </row>
    <row r="1074" spans="1:5" x14ac:dyDescent="0.3">
      <c r="A1074" s="2">
        <v>44557</v>
      </c>
      <c r="B1074" s="36">
        <v>38.518900000000002</v>
      </c>
      <c r="C1074" s="36">
        <v>38.518900000000002</v>
      </c>
      <c r="D1074" s="36">
        <v>38.518900000000002</v>
      </c>
      <c r="E1074" s="36">
        <v>38.518900000000002</v>
      </c>
    </row>
    <row r="1075" spans="1:5" x14ac:dyDescent="0.3">
      <c r="A1075" s="1">
        <v>44558</v>
      </c>
      <c r="B1075" s="37">
        <v>38.549599999999998</v>
      </c>
      <c r="C1075" s="37">
        <v>38.549599999999998</v>
      </c>
      <c r="D1075" s="37">
        <v>38.549599999999998</v>
      </c>
      <c r="E1075" s="37">
        <v>38.549599999999998</v>
      </c>
    </row>
    <row r="1076" spans="1:5" x14ac:dyDescent="0.3">
      <c r="A1076" s="2">
        <v>44559</v>
      </c>
      <c r="B1076" s="36">
        <v>38.580300000000001</v>
      </c>
      <c r="C1076" s="36">
        <v>38.580300000000001</v>
      </c>
      <c r="D1076" s="36">
        <v>38.580300000000001</v>
      </c>
      <c r="E1076" s="36">
        <v>38.580300000000001</v>
      </c>
    </row>
    <row r="1077" spans="1:5" x14ac:dyDescent="0.3">
      <c r="A1077" s="1">
        <v>44560</v>
      </c>
      <c r="B1077" s="37">
        <v>38.6111</v>
      </c>
      <c r="C1077" s="37">
        <v>38.6111</v>
      </c>
      <c r="D1077" s="37">
        <v>38.6111</v>
      </c>
      <c r="E1077" s="37">
        <v>38.6111</v>
      </c>
    </row>
    <row r="1078" spans="1:5" x14ac:dyDescent="0.3">
      <c r="A1078" s="2">
        <v>44561</v>
      </c>
      <c r="B1078" s="36">
        <v>38.641800000000003</v>
      </c>
      <c r="C1078" s="36">
        <v>38.641800000000003</v>
      </c>
      <c r="D1078" s="36">
        <v>38.641800000000003</v>
      </c>
      <c r="E1078" s="36">
        <v>38.641800000000003</v>
      </c>
    </row>
    <row r="1079" spans="1:5" x14ac:dyDescent="0.3">
      <c r="A1079" s="1">
        <v>44562</v>
      </c>
      <c r="B1079" s="37">
        <v>38.672600000000003</v>
      </c>
      <c r="C1079" s="37">
        <v>38.672600000000003</v>
      </c>
      <c r="D1079" s="37">
        <v>38.672600000000003</v>
      </c>
      <c r="E1079" s="37">
        <v>38.672600000000003</v>
      </c>
    </row>
    <row r="1080" spans="1:5" x14ac:dyDescent="0.3">
      <c r="A1080" s="2">
        <v>44563</v>
      </c>
      <c r="B1080" s="36">
        <v>38.703499999999998</v>
      </c>
      <c r="C1080" s="36">
        <v>38.703499999999998</v>
      </c>
      <c r="D1080" s="36">
        <v>38.703499999999998</v>
      </c>
      <c r="E1080" s="36">
        <v>38.703499999999998</v>
      </c>
    </row>
    <row r="1081" spans="1:5" x14ac:dyDescent="0.3">
      <c r="A1081" s="1">
        <v>44564</v>
      </c>
      <c r="B1081" s="37">
        <v>38.734299999999998</v>
      </c>
      <c r="C1081" s="37">
        <v>38.734299999999998</v>
      </c>
      <c r="D1081" s="37">
        <v>38.734299999999998</v>
      </c>
      <c r="E1081" s="37">
        <v>38.734299999999998</v>
      </c>
    </row>
    <row r="1082" spans="1:5" x14ac:dyDescent="0.3">
      <c r="A1082" s="2">
        <v>44565</v>
      </c>
      <c r="B1082" s="36">
        <v>38.7652</v>
      </c>
      <c r="C1082" s="36">
        <v>38.7652</v>
      </c>
      <c r="D1082" s="36">
        <v>38.7652</v>
      </c>
      <c r="E1082" s="36">
        <v>38.7652</v>
      </c>
    </row>
    <row r="1083" spans="1:5" x14ac:dyDescent="0.3">
      <c r="A1083" s="1">
        <v>44566</v>
      </c>
      <c r="B1083" s="37">
        <v>38.796100000000003</v>
      </c>
      <c r="C1083" s="37">
        <v>38.796100000000003</v>
      </c>
      <c r="D1083" s="37">
        <v>38.796100000000003</v>
      </c>
      <c r="E1083" s="37">
        <v>38.796100000000003</v>
      </c>
    </row>
    <row r="1084" spans="1:5" x14ac:dyDescent="0.3">
      <c r="A1084" s="2">
        <v>44567</v>
      </c>
      <c r="B1084" s="36">
        <v>38.826999999999998</v>
      </c>
      <c r="C1084" s="36">
        <v>38.826999999999998</v>
      </c>
      <c r="D1084" s="36">
        <v>38.826999999999998</v>
      </c>
      <c r="E1084" s="36">
        <v>38.826999999999998</v>
      </c>
    </row>
    <row r="1085" spans="1:5" x14ac:dyDescent="0.3">
      <c r="A1085" s="1">
        <v>44568</v>
      </c>
      <c r="B1085" s="37">
        <v>38.857900000000001</v>
      </c>
      <c r="C1085" s="37">
        <v>38.857900000000001</v>
      </c>
      <c r="D1085" s="37">
        <v>38.857900000000001</v>
      </c>
      <c r="E1085" s="37">
        <v>38.857900000000001</v>
      </c>
    </row>
    <row r="1086" spans="1:5" x14ac:dyDescent="0.3">
      <c r="A1086" s="2">
        <v>44569</v>
      </c>
      <c r="B1086" s="36">
        <v>38.8889</v>
      </c>
      <c r="C1086" s="36">
        <v>38.8889</v>
      </c>
      <c r="D1086" s="36">
        <v>38.8889</v>
      </c>
      <c r="E1086" s="36">
        <v>38.8889</v>
      </c>
    </row>
    <row r="1087" spans="1:5" x14ac:dyDescent="0.3">
      <c r="A1087" s="1">
        <v>44570</v>
      </c>
      <c r="B1087" s="37">
        <v>38.919899999999998</v>
      </c>
      <c r="C1087" s="37">
        <v>38.919899999999998</v>
      </c>
      <c r="D1087" s="37">
        <v>38.919899999999998</v>
      </c>
      <c r="E1087" s="37">
        <v>38.919899999999998</v>
      </c>
    </row>
    <row r="1088" spans="1:5" x14ac:dyDescent="0.3">
      <c r="A1088" s="2">
        <v>44571</v>
      </c>
      <c r="B1088" s="36">
        <v>38.950899999999997</v>
      </c>
      <c r="C1088" s="36">
        <v>38.950899999999997</v>
      </c>
      <c r="D1088" s="36">
        <v>38.950899999999997</v>
      </c>
      <c r="E1088" s="36">
        <v>38.950899999999997</v>
      </c>
    </row>
    <row r="1089" spans="1:5" x14ac:dyDescent="0.3">
      <c r="A1089" s="1">
        <v>44572</v>
      </c>
      <c r="B1089" s="37">
        <v>38.981900000000003</v>
      </c>
      <c r="C1089" s="37">
        <v>38.981900000000003</v>
      </c>
      <c r="D1089" s="37">
        <v>38.981900000000003</v>
      </c>
      <c r="E1089" s="37">
        <v>38.981900000000003</v>
      </c>
    </row>
    <row r="1090" spans="1:5" x14ac:dyDescent="0.3">
      <c r="A1090" s="2">
        <v>44573</v>
      </c>
      <c r="B1090" s="36">
        <v>39.012999999999998</v>
      </c>
      <c r="C1090" s="36">
        <v>39.012999999999998</v>
      </c>
      <c r="D1090" s="36">
        <v>39.012999999999998</v>
      </c>
      <c r="E1090" s="36">
        <v>39.012999999999998</v>
      </c>
    </row>
    <row r="1091" spans="1:5" x14ac:dyDescent="0.3">
      <c r="A1091" s="1">
        <v>44574</v>
      </c>
      <c r="B1091" s="37">
        <v>39.0441</v>
      </c>
      <c r="C1091" s="37">
        <v>39.0441</v>
      </c>
      <c r="D1091" s="37">
        <v>39.0441</v>
      </c>
      <c r="E1091" s="37">
        <v>39.0441</v>
      </c>
    </row>
    <row r="1092" spans="1:5" x14ac:dyDescent="0.3">
      <c r="A1092" s="2">
        <v>44575</v>
      </c>
      <c r="B1092" s="36">
        <v>39.075200000000002</v>
      </c>
      <c r="C1092" s="36">
        <v>39.075200000000002</v>
      </c>
      <c r="D1092" s="36">
        <v>39.075200000000002</v>
      </c>
      <c r="E1092" s="36">
        <v>39.075200000000002</v>
      </c>
    </row>
    <row r="1093" spans="1:5" x14ac:dyDescent="0.3">
      <c r="A1093" s="1">
        <v>44576</v>
      </c>
      <c r="B1093" s="37">
        <v>39.106299999999997</v>
      </c>
      <c r="C1093" s="37">
        <v>39.106299999999997</v>
      </c>
      <c r="D1093" s="37">
        <v>39.106299999999997</v>
      </c>
      <c r="E1093" s="37">
        <v>39.106299999999997</v>
      </c>
    </row>
    <row r="1094" spans="1:5" x14ac:dyDescent="0.3">
      <c r="A1094" s="2">
        <v>44577</v>
      </c>
      <c r="B1094" s="36">
        <v>39.153399999999998</v>
      </c>
      <c r="C1094" s="36">
        <v>39.153399999999998</v>
      </c>
      <c r="D1094" s="36">
        <v>39.153399999999998</v>
      </c>
      <c r="E1094" s="36">
        <v>39.153399999999998</v>
      </c>
    </row>
    <row r="1095" spans="1:5" x14ac:dyDescent="0.3">
      <c r="A1095" s="1">
        <v>44578</v>
      </c>
      <c r="B1095" s="37">
        <v>39.200499999999998</v>
      </c>
      <c r="C1095" s="37">
        <v>39.200499999999998</v>
      </c>
      <c r="D1095" s="37">
        <v>39.200499999999998</v>
      </c>
      <c r="E1095" s="37">
        <v>39.200499999999998</v>
      </c>
    </row>
    <row r="1096" spans="1:5" x14ac:dyDescent="0.3">
      <c r="A1096" s="2">
        <v>44579</v>
      </c>
      <c r="B1096" s="36">
        <v>39.247700000000002</v>
      </c>
      <c r="C1096" s="36">
        <v>39.247700000000002</v>
      </c>
      <c r="D1096" s="36">
        <v>39.247700000000002</v>
      </c>
      <c r="E1096" s="36">
        <v>39.247700000000002</v>
      </c>
    </row>
    <row r="1097" spans="1:5" x14ac:dyDescent="0.3">
      <c r="A1097" s="1">
        <v>44580</v>
      </c>
      <c r="B1097" s="37">
        <v>39.295000000000002</v>
      </c>
      <c r="C1097" s="37">
        <v>39.295000000000002</v>
      </c>
      <c r="D1097" s="37">
        <v>39.295000000000002</v>
      </c>
      <c r="E1097" s="37">
        <v>39.295000000000002</v>
      </c>
    </row>
    <row r="1098" spans="1:5" x14ac:dyDescent="0.3">
      <c r="A1098" s="2">
        <v>44581</v>
      </c>
      <c r="B1098" s="36">
        <v>39.342300000000002</v>
      </c>
      <c r="C1098" s="36">
        <v>39.342300000000002</v>
      </c>
      <c r="D1098" s="36">
        <v>39.342300000000002</v>
      </c>
      <c r="E1098" s="36">
        <v>39.342300000000002</v>
      </c>
    </row>
    <row r="1099" spans="1:5" x14ac:dyDescent="0.3">
      <c r="A1099" s="1">
        <v>44582</v>
      </c>
      <c r="B1099" s="37">
        <v>39.389600000000002</v>
      </c>
      <c r="C1099" s="37">
        <v>39.389600000000002</v>
      </c>
      <c r="D1099" s="37">
        <v>39.389600000000002</v>
      </c>
      <c r="E1099" s="37">
        <v>39.389600000000002</v>
      </c>
    </row>
    <row r="1100" spans="1:5" x14ac:dyDescent="0.3">
      <c r="A1100" s="2">
        <v>44583</v>
      </c>
      <c r="B1100" s="36">
        <v>39.436999999999998</v>
      </c>
      <c r="C1100" s="36">
        <v>39.436999999999998</v>
      </c>
      <c r="D1100" s="36">
        <v>39.436999999999998</v>
      </c>
      <c r="E1100" s="36">
        <v>39.436999999999998</v>
      </c>
    </row>
    <row r="1101" spans="1:5" x14ac:dyDescent="0.3">
      <c r="A1101" s="1">
        <v>44584</v>
      </c>
      <c r="B1101" s="37">
        <v>39.484499999999997</v>
      </c>
      <c r="C1101" s="37">
        <v>39.484499999999997</v>
      </c>
      <c r="D1101" s="37">
        <v>39.484499999999997</v>
      </c>
      <c r="E1101" s="37">
        <v>39.484499999999997</v>
      </c>
    </row>
    <row r="1102" spans="1:5" x14ac:dyDescent="0.3">
      <c r="A1102" s="2">
        <v>44585</v>
      </c>
      <c r="B1102" s="36">
        <v>39.531999999999996</v>
      </c>
      <c r="C1102" s="36">
        <v>39.531999999999996</v>
      </c>
      <c r="D1102" s="36">
        <v>39.531999999999996</v>
      </c>
      <c r="E1102" s="36">
        <v>39.531999999999996</v>
      </c>
    </row>
    <row r="1103" spans="1:5" x14ac:dyDescent="0.3">
      <c r="A1103" s="1">
        <v>44586</v>
      </c>
      <c r="B1103" s="37">
        <v>39.579599999999999</v>
      </c>
      <c r="C1103" s="37">
        <v>39.579599999999999</v>
      </c>
      <c r="D1103" s="37">
        <v>39.579599999999999</v>
      </c>
      <c r="E1103" s="37">
        <v>39.579599999999999</v>
      </c>
    </row>
    <row r="1104" spans="1:5" x14ac:dyDescent="0.3">
      <c r="A1104" s="2">
        <v>44587</v>
      </c>
      <c r="B1104" s="36">
        <v>39.627299999999998</v>
      </c>
      <c r="C1104" s="36">
        <v>39.627299999999998</v>
      </c>
      <c r="D1104" s="36">
        <v>39.627299999999998</v>
      </c>
      <c r="E1104" s="36">
        <v>39.627299999999998</v>
      </c>
    </row>
    <row r="1105" spans="1:5" x14ac:dyDescent="0.3">
      <c r="A1105" s="1">
        <v>44588</v>
      </c>
      <c r="B1105" s="37">
        <v>39.674999999999997</v>
      </c>
      <c r="C1105" s="37">
        <v>39.674999999999997</v>
      </c>
      <c r="D1105" s="37">
        <v>39.674999999999997</v>
      </c>
      <c r="E1105" s="37">
        <v>39.674999999999997</v>
      </c>
    </row>
    <row r="1106" spans="1:5" x14ac:dyDescent="0.3">
      <c r="A1106" s="2">
        <v>44589</v>
      </c>
      <c r="B1106" s="36">
        <v>39.722700000000003</v>
      </c>
      <c r="C1106" s="36">
        <v>39.722700000000003</v>
      </c>
      <c r="D1106" s="36">
        <v>39.722700000000003</v>
      </c>
      <c r="E1106" s="36">
        <v>39.722700000000003</v>
      </c>
    </row>
    <row r="1107" spans="1:5" x14ac:dyDescent="0.3">
      <c r="A1107" s="1">
        <v>44590</v>
      </c>
      <c r="B1107" s="37">
        <v>39.770600000000002</v>
      </c>
      <c r="C1107" s="37">
        <v>39.770600000000002</v>
      </c>
      <c r="D1107" s="37">
        <v>39.770600000000002</v>
      </c>
      <c r="E1107" s="37">
        <v>39.770600000000002</v>
      </c>
    </row>
    <row r="1108" spans="1:5" x14ac:dyDescent="0.3">
      <c r="A1108" s="2">
        <v>44591</v>
      </c>
      <c r="B1108" s="36">
        <v>39.818399999999997</v>
      </c>
      <c r="C1108" s="36">
        <v>39.818399999999997</v>
      </c>
      <c r="D1108" s="36">
        <v>39.818399999999997</v>
      </c>
      <c r="E1108" s="36">
        <v>39.818399999999997</v>
      </c>
    </row>
    <row r="1109" spans="1:5" x14ac:dyDescent="0.3">
      <c r="A1109" s="1">
        <v>44592</v>
      </c>
      <c r="B1109" s="37">
        <v>39.866399999999999</v>
      </c>
      <c r="C1109" s="37">
        <v>39.866399999999999</v>
      </c>
      <c r="D1109" s="37">
        <v>39.866399999999999</v>
      </c>
      <c r="E1109" s="37">
        <v>39.866399999999999</v>
      </c>
    </row>
    <row r="1110" spans="1:5" x14ac:dyDescent="0.3">
      <c r="A1110" s="2">
        <v>44593</v>
      </c>
      <c r="B1110" s="36">
        <v>39.914400000000001</v>
      </c>
      <c r="C1110" s="36">
        <v>39.914400000000001</v>
      </c>
      <c r="D1110" s="36">
        <v>39.914400000000001</v>
      </c>
      <c r="E1110" s="36">
        <v>39.914400000000001</v>
      </c>
    </row>
    <row r="1111" spans="1:5" x14ac:dyDescent="0.3">
      <c r="A1111" s="1">
        <v>44594</v>
      </c>
      <c r="B1111" s="37">
        <v>39.962400000000002</v>
      </c>
      <c r="C1111" s="37">
        <v>39.962400000000002</v>
      </c>
      <c r="D1111" s="37">
        <v>39.962400000000002</v>
      </c>
      <c r="E1111" s="37">
        <v>39.962400000000002</v>
      </c>
    </row>
    <row r="1112" spans="1:5" x14ac:dyDescent="0.3">
      <c r="A1112" s="2">
        <v>44595</v>
      </c>
      <c r="B1112" s="36">
        <v>40.0105</v>
      </c>
      <c r="C1112" s="36">
        <v>40.0105</v>
      </c>
      <c r="D1112" s="36">
        <v>40.0105</v>
      </c>
      <c r="E1112" s="36">
        <v>40.0105</v>
      </c>
    </row>
    <row r="1113" spans="1:5" x14ac:dyDescent="0.3">
      <c r="A1113" s="1">
        <v>44596</v>
      </c>
      <c r="B1113" s="37">
        <v>40.058700000000002</v>
      </c>
      <c r="C1113" s="37">
        <v>40.058700000000002</v>
      </c>
      <c r="D1113" s="37">
        <v>40.058700000000002</v>
      </c>
      <c r="E1113" s="37">
        <v>40.058700000000002</v>
      </c>
    </row>
    <row r="1114" spans="1:5" x14ac:dyDescent="0.3">
      <c r="A1114" s="2">
        <v>44597</v>
      </c>
      <c r="B1114" s="36">
        <v>40.106900000000003</v>
      </c>
      <c r="C1114" s="36">
        <v>40.106900000000003</v>
      </c>
      <c r="D1114" s="36">
        <v>40.106900000000003</v>
      </c>
      <c r="E1114" s="36">
        <v>40.106900000000003</v>
      </c>
    </row>
    <row r="1115" spans="1:5" x14ac:dyDescent="0.3">
      <c r="A1115" s="1">
        <v>44598</v>
      </c>
      <c r="B1115" s="37">
        <v>40.155200000000001</v>
      </c>
      <c r="C1115" s="37">
        <v>40.155200000000001</v>
      </c>
      <c r="D1115" s="37">
        <v>40.155200000000001</v>
      </c>
      <c r="E1115" s="37">
        <v>40.155200000000001</v>
      </c>
    </row>
    <row r="1116" spans="1:5" x14ac:dyDescent="0.3">
      <c r="A1116" s="2">
        <v>44599</v>
      </c>
      <c r="B1116" s="36">
        <v>40.203499999999998</v>
      </c>
      <c r="C1116" s="36">
        <v>40.203499999999998</v>
      </c>
      <c r="D1116" s="36">
        <v>40.203499999999998</v>
      </c>
      <c r="E1116" s="36">
        <v>40.203499999999998</v>
      </c>
    </row>
    <row r="1117" spans="1:5" x14ac:dyDescent="0.3">
      <c r="A1117" s="1">
        <v>44600</v>
      </c>
      <c r="B1117" s="37">
        <v>40.251899999999999</v>
      </c>
      <c r="C1117" s="37">
        <v>40.251899999999999</v>
      </c>
      <c r="D1117" s="37">
        <v>40.251899999999999</v>
      </c>
      <c r="E1117" s="37">
        <v>40.251899999999999</v>
      </c>
    </row>
    <row r="1118" spans="1:5" x14ac:dyDescent="0.3">
      <c r="A1118" s="2">
        <v>44601</v>
      </c>
      <c r="B1118" s="36">
        <v>40.300400000000003</v>
      </c>
      <c r="C1118" s="36">
        <v>40.300400000000003</v>
      </c>
      <c r="D1118" s="36">
        <v>40.300400000000003</v>
      </c>
      <c r="E1118" s="36">
        <v>40.300400000000003</v>
      </c>
    </row>
    <row r="1119" spans="1:5" x14ac:dyDescent="0.3">
      <c r="A1119" s="1">
        <v>44602</v>
      </c>
      <c r="B1119" s="37">
        <v>40.3489</v>
      </c>
      <c r="C1119" s="37">
        <v>40.3489</v>
      </c>
      <c r="D1119" s="37">
        <v>40.3489</v>
      </c>
      <c r="E1119" s="37">
        <v>40.3489</v>
      </c>
    </row>
    <row r="1120" spans="1:5" x14ac:dyDescent="0.3">
      <c r="A1120" s="2">
        <v>44603</v>
      </c>
      <c r="B1120" s="36">
        <v>40.397500000000001</v>
      </c>
      <c r="C1120" s="36">
        <v>40.397500000000001</v>
      </c>
      <c r="D1120" s="36">
        <v>40.397500000000001</v>
      </c>
      <c r="E1120" s="36">
        <v>40.397500000000001</v>
      </c>
    </row>
    <row r="1121" spans="1:5" x14ac:dyDescent="0.3">
      <c r="A1121" s="1">
        <v>44604</v>
      </c>
      <c r="B1121" s="37">
        <v>40.446100000000001</v>
      </c>
      <c r="C1121" s="37">
        <v>40.446100000000001</v>
      </c>
      <c r="D1121" s="37">
        <v>40.446100000000001</v>
      </c>
      <c r="E1121" s="37">
        <v>40.446100000000001</v>
      </c>
    </row>
    <row r="1122" spans="1:5" x14ac:dyDescent="0.3">
      <c r="A1122" s="2">
        <v>44605</v>
      </c>
      <c r="B1122" s="36">
        <v>40.494799999999998</v>
      </c>
      <c r="C1122" s="36">
        <v>40.494799999999998</v>
      </c>
      <c r="D1122" s="36">
        <v>40.494799999999998</v>
      </c>
      <c r="E1122" s="36">
        <v>40.494799999999998</v>
      </c>
    </row>
    <row r="1123" spans="1:5" x14ac:dyDescent="0.3">
      <c r="A1123" s="1">
        <v>44606</v>
      </c>
      <c r="B1123" s="37">
        <v>40.543500000000002</v>
      </c>
      <c r="C1123" s="37">
        <v>40.543500000000002</v>
      </c>
      <c r="D1123" s="37">
        <v>40.543500000000002</v>
      </c>
      <c r="E1123" s="37">
        <v>40.543500000000002</v>
      </c>
    </row>
    <row r="1124" spans="1:5" x14ac:dyDescent="0.3">
      <c r="A1124" s="2">
        <v>44607</v>
      </c>
      <c r="B1124" s="36">
        <v>40.592399999999998</v>
      </c>
      <c r="C1124" s="36">
        <v>40.592399999999998</v>
      </c>
      <c r="D1124" s="36">
        <v>40.592399999999998</v>
      </c>
      <c r="E1124" s="36">
        <v>40.592399999999998</v>
      </c>
    </row>
    <row r="1125" spans="1:5" x14ac:dyDescent="0.3">
      <c r="A1125" s="1">
        <v>44608</v>
      </c>
      <c r="B1125" s="37">
        <v>40.6479</v>
      </c>
      <c r="C1125" s="37">
        <v>40.6479</v>
      </c>
      <c r="D1125" s="37">
        <v>40.6479</v>
      </c>
      <c r="E1125" s="37">
        <v>40.6479</v>
      </c>
    </row>
    <row r="1126" spans="1:5" x14ac:dyDescent="0.3">
      <c r="A1126" s="2">
        <v>44609</v>
      </c>
      <c r="B1126" s="36">
        <v>40.703400000000002</v>
      </c>
      <c r="C1126" s="36">
        <v>40.703400000000002</v>
      </c>
      <c r="D1126" s="36">
        <v>40.703400000000002</v>
      </c>
      <c r="E1126" s="36">
        <v>40.703400000000002</v>
      </c>
    </row>
    <row r="1127" spans="1:5" x14ac:dyDescent="0.3">
      <c r="A1127" s="1">
        <v>44610</v>
      </c>
      <c r="B1127" s="37">
        <v>40.759099999999997</v>
      </c>
      <c r="C1127" s="37">
        <v>40.759099999999997</v>
      </c>
      <c r="D1127" s="37">
        <v>40.759099999999997</v>
      </c>
      <c r="E1127" s="37">
        <v>40.759099999999997</v>
      </c>
    </row>
    <row r="1128" spans="1:5" x14ac:dyDescent="0.3">
      <c r="A1128" s="2">
        <v>44611</v>
      </c>
      <c r="B1128" s="36">
        <v>40.814799999999998</v>
      </c>
      <c r="C1128" s="36">
        <v>40.814799999999998</v>
      </c>
      <c r="D1128" s="36">
        <v>40.814799999999998</v>
      </c>
      <c r="E1128" s="36">
        <v>40.814799999999998</v>
      </c>
    </row>
    <row r="1129" spans="1:5" x14ac:dyDescent="0.3">
      <c r="A1129" s="1">
        <v>44612</v>
      </c>
      <c r="B1129" s="37">
        <v>40.870600000000003</v>
      </c>
      <c r="C1129" s="37">
        <v>40.870600000000003</v>
      </c>
      <c r="D1129" s="37">
        <v>40.870600000000003</v>
      </c>
      <c r="E1129" s="37">
        <v>40.870600000000003</v>
      </c>
    </row>
    <row r="1130" spans="1:5" x14ac:dyDescent="0.3">
      <c r="A1130" s="2">
        <v>44613</v>
      </c>
      <c r="B1130" s="36">
        <v>40.926499999999997</v>
      </c>
      <c r="C1130" s="36">
        <v>40.926499999999997</v>
      </c>
      <c r="D1130" s="36">
        <v>40.926499999999997</v>
      </c>
      <c r="E1130" s="36">
        <v>40.926499999999997</v>
      </c>
    </row>
    <row r="1131" spans="1:5" x14ac:dyDescent="0.3">
      <c r="A1131" s="1">
        <v>44614</v>
      </c>
      <c r="B1131" s="37">
        <v>40.982500000000002</v>
      </c>
      <c r="C1131" s="37">
        <v>40.982500000000002</v>
      </c>
      <c r="D1131" s="37">
        <v>40.982500000000002</v>
      </c>
      <c r="E1131" s="37">
        <v>40.982500000000002</v>
      </c>
    </row>
    <row r="1132" spans="1:5" x14ac:dyDescent="0.3">
      <c r="A1132" s="2">
        <v>44615</v>
      </c>
      <c r="B1132" s="36">
        <v>41.038499999999999</v>
      </c>
      <c r="C1132" s="36">
        <v>41.038499999999999</v>
      </c>
      <c r="D1132" s="36">
        <v>41.038499999999999</v>
      </c>
      <c r="E1132" s="36">
        <v>41.038499999999999</v>
      </c>
    </row>
    <row r="1133" spans="1:5" x14ac:dyDescent="0.3">
      <c r="A1133" s="1">
        <v>44616</v>
      </c>
      <c r="B1133" s="37">
        <v>41.0946</v>
      </c>
      <c r="C1133" s="37">
        <v>41.0946</v>
      </c>
      <c r="D1133" s="37">
        <v>41.0946</v>
      </c>
      <c r="E1133" s="37">
        <v>41.0946</v>
      </c>
    </row>
    <row r="1134" spans="1:5" x14ac:dyDescent="0.3">
      <c r="A1134" s="2">
        <v>44617</v>
      </c>
      <c r="B1134" s="36">
        <v>41.150799999999997</v>
      </c>
      <c r="C1134" s="36">
        <v>41.150799999999997</v>
      </c>
      <c r="D1134" s="36">
        <v>41.150799999999997</v>
      </c>
      <c r="E1134" s="36">
        <v>41.150799999999997</v>
      </c>
    </row>
    <row r="1135" spans="1:5" x14ac:dyDescent="0.3">
      <c r="A1135" s="1">
        <v>44618</v>
      </c>
      <c r="B1135" s="37">
        <v>41.207099999999997</v>
      </c>
      <c r="C1135" s="37">
        <v>41.207099999999997</v>
      </c>
      <c r="D1135" s="37">
        <v>41.207099999999997</v>
      </c>
      <c r="E1135" s="37">
        <v>41.207099999999997</v>
      </c>
    </row>
    <row r="1136" spans="1:5" x14ac:dyDescent="0.3">
      <c r="A1136" s="2">
        <v>44619</v>
      </c>
      <c r="B1136" s="36">
        <v>41.263399999999997</v>
      </c>
      <c r="C1136" s="36">
        <v>41.263399999999997</v>
      </c>
      <c r="D1136" s="36">
        <v>41.263399999999997</v>
      </c>
      <c r="E1136" s="36">
        <v>41.263399999999997</v>
      </c>
    </row>
    <row r="1137" spans="1:5" x14ac:dyDescent="0.3">
      <c r="A1137" s="1">
        <v>44620</v>
      </c>
      <c r="B1137" s="37">
        <v>41.319800000000001</v>
      </c>
      <c r="C1137" s="37">
        <v>41.319800000000001</v>
      </c>
      <c r="D1137" s="37">
        <v>41.319800000000001</v>
      </c>
      <c r="E1137" s="37">
        <v>41.319800000000001</v>
      </c>
    </row>
    <row r="1138" spans="1:5" x14ac:dyDescent="0.3">
      <c r="A1138" s="2">
        <v>44621</v>
      </c>
      <c r="B1138" s="36">
        <v>41.376300000000001</v>
      </c>
      <c r="C1138" s="36">
        <v>41.376300000000001</v>
      </c>
      <c r="D1138" s="36">
        <v>41.376300000000001</v>
      </c>
      <c r="E1138" s="36">
        <v>41.376300000000001</v>
      </c>
    </row>
    <row r="1139" spans="1:5" x14ac:dyDescent="0.3">
      <c r="A1139" s="1">
        <v>44622</v>
      </c>
      <c r="B1139" s="37">
        <v>41.432899999999997</v>
      </c>
      <c r="C1139" s="37">
        <v>41.432899999999997</v>
      </c>
      <c r="D1139" s="37">
        <v>41.432899999999997</v>
      </c>
      <c r="E1139" s="37">
        <v>41.432899999999997</v>
      </c>
    </row>
    <row r="1140" spans="1:5" x14ac:dyDescent="0.3">
      <c r="A1140" s="2">
        <v>44623</v>
      </c>
      <c r="B1140" s="36">
        <v>41.489600000000003</v>
      </c>
      <c r="C1140" s="36">
        <v>41.489600000000003</v>
      </c>
      <c r="D1140" s="36">
        <v>41.489600000000003</v>
      </c>
      <c r="E1140" s="36">
        <v>41.489600000000003</v>
      </c>
    </row>
    <row r="1141" spans="1:5" x14ac:dyDescent="0.3">
      <c r="A1141" s="1">
        <v>44624</v>
      </c>
      <c r="B1141" s="37">
        <v>41.546300000000002</v>
      </c>
      <c r="C1141" s="37">
        <v>41.546300000000002</v>
      </c>
      <c r="D1141" s="37">
        <v>41.546300000000002</v>
      </c>
      <c r="E1141" s="37">
        <v>41.546300000000002</v>
      </c>
    </row>
    <row r="1142" spans="1:5" x14ac:dyDescent="0.3">
      <c r="A1142" s="2">
        <v>44625</v>
      </c>
      <c r="B1142" s="36">
        <v>41.603099999999998</v>
      </c>
      <c r="C1142" s="36">
        <v>41.603099999999998</v>
      </c>
      <c r="D1142" s="36">
        <v>41.603099999999998</v>
      </c>
      <c r="E1142" s="36">
        <v>41.603099999999998</v>
      </c>
    </row>
    <row r="1143" spans="1:5" x14ac:dyDescent="0.3">
      <c r="A1143" s="1">
        <v>44626</v>
      </c>
      <c r="B1143" s="37">
        <v>41.66</v>
      </c>
      <c r="C1143" s="37">
        <v>41.66</v>
      </c>
      <c r="D1143" s="37">
        <v>41.66</v>
      </c>
      <c r="E1143" s="37">
        <v>41.66</v>
      </c>
    </row>
    <row r="1144" spans="1:5" x14ac:dyDescent="0.3">
      <c r="A1144" s="2">
        <v>44627</v>
      </c>
      <c r="B1144" s="36">
        <v>41.716900000000003</v>
      </c>
      <c r="C1144" s="36">
        <v>41.716900000000003</v>
      </c>
      <c r="D1144" s="36">
        <v>41.716900000000003</v>
      </c>
      <c r="E1144" s="36">
        <v>41.716900000000003</v>
      </c>
    </row>
    <row r="1145" spans="1:5" x14ac:dyDescent="0.3">
      <c r="A1145" s="1">
        <v>44628</v>
      </c>
      <c r="B1145" s="37">
        <v>41.774000000000001</v>
      </c>
      <c r="C1145" s="37">
        <v>41.774000000000001</v>
      </c>
      <c r="D1145" s="37">
        <v>41.774000000000001</v>
      </c>
      <c r="E1145" s="37">
        <v>41.774000000000001</v>
      </c>
    </row>
    <row r="1146" spans="1:5" x14ac:dyDescent="0.3">
      <c r="A1146" s="2">
        <v>44629</v>
      </c>
      <c r="B1146" s="36">
        <v>41.831099999999999</v>
      </c>
      <c r="C1146" s="36">
        <v>41.831099999999999</v>
      </c>
      <c r="D1146" s="36">
        <v>41.831099999999999</v>
      </c>
      <c r="E1146" s="36">
        <v>41.831099999999999</v>
      </c>
    </row>
    <row r="1147" spans="1:5" x14ac:dyDescent="0.3">
      <c r="A1147" s="1">
        <v>44630</v>
      </c>
      <c r="B1147" s="37">
        <v>41.888300000000001</v>
      </c>
      <c r="C1147" s="37">
        <v>41.888300000000001</v>
      </c>
      <c r="D1147" s="37">
        <v>41.888300000000001</v>
      </c>
      <c r="E1147" s="37">
        <v>41.888300000000001</v>
      </c>
    </row>
    <row r="1148" spans="1:5" x14ac:dyDescent="0.3">
      <c r="A1148" s="2">
        <v>44631</v>
      </c>
      <c r="B1148" s="36">
        <v>41.945599999999999</v>
      </c>
      <c r="C1148" s="36">
        <v>41.945599999999999</v>
      </c>
      <c r="D1148" s="36">
        <v>41.945599999999999</v>
      </c>
      <c r="E1148" s="36">
        <v>41.945599999999999</v>
      </c>
    </row>
    <row r="1149" spans="1:5" x14ac:dyDescent="0.3">
      <c r="A1149" s="1">
        <v>44632</v>
      </c>
      <c r="B1149" s="37">
        <v>42.002899999999997</v>
      </c>
      <c r="C1149" s="37">
        <v>42.002899999999997</v>
      </c>
      <c r="D1149" s="37">
        <v>42.002899999999997</v>
      </c>
      <c r="E1149" s="37">
        <v>42.002899999999997</v>
      </c>
    </row>
    <row r="1150" spans="1:5" x14ac:dyDescent="0.3">
      <c r="A1150" s="2">
        <v>44633</v>
      </c>
      <c r="B1150" s="36">
        <v>42.060400000000001</v>
      </c>
      <c r="C1150" s="36">
        <v>42.060400000000001</v>
      </c>
      <c r="D1150" s="36">
        <v>42.060400000000001</v>
      </c>
      <c r="E1150" s="36">
        <v>42.060400000000001</v>
      </c>
    </row>
    <row r="1151" spans="1:5" x14ac:dyDescent="0.3">
      <c r="A1151" s="1">
        <v>44634</v>
      </c>
      <c r="B1151" s="37">
        <v>42.117899999999999</v>
      </c>
      <c r="C1151" s="37">
        <v>42.117899999999999</v>
      </c>
      <c r="D1151" s="37">
        <v>42.117899999999999</v>
      </c>
      <c r="E1151" s="37">
        <v>42.117899999999999</v>
      </c>
    </row>
    <row r="1152" spans="1:5" x14ac:dyDescent="0.3">
      <c r="A1152" s="2">
        <v>44635</v>
      </c>
      <c r="B1152" s="36">
        <v>42.1755</v>
      </c>
      <c r="C1152" s="36">
        <v>42.1755</v>
      </c>
      <c r="D1152" s="36">
        <v>42.1755</v>
      </c>
      <c r="E1152" s="36">
        <v>42.1755</v>
      </c>
    </row>
    <row r="1153" spans="1:5" x14ac:dyDescent="0.3">
      <c r="A1153" s="1">
        <v>44636</v>
      </c>
      <c r="B1153" s="37">
        <v>42.238</v>
      </c>
      <c r="C1153" s="37">
        <v>42.238</v>
      </c>
      <c r="D1153" s="37">
        <v>42.238</v>
      </c>
      <c r="E1153" s="37">
        <v>42.238</v>
      </c>
    </row>
    <row r="1154" spans="1:5" x14ac:dyDescent="0.3">
      <c r="A1154" s="2">
        <v>44637</v>
      </c>
      <c r="B1154" s="36">
        <v>42.300600000000003</v>
      </c>
      <c r="C1154" s="36">
        <v>42.300600000000003</v>
      </c>
      <c r="D1154" s="36">
        <v>42.300600000000003</v>
      </c>
      <c r="E1154" s="36">
        <v>42.300600000000003</v>
      </c>
    </row>
    <row r="1155" spans="1:5" x14ac:dyDescent="0.3">
      <c r="A1155" s="1">
        <v>44638</v>
      </c>
      <c r="B1155" s="37">
        <v>42.363300000000002</v>
      </c>
      <c r="C1155" s="37">
        <v>42.363300000000002</v>
      </c>
      <c r="D1155" s="37">
        <v>42.363300000000002</v>
      </c>
      <c r="E1155" s="37">
        <v>42.363300000000002</v>
      </c>
    </row>
    <row r="1156" spans="1:5" x14ac:dyDescent="0.3">
      <c r="A1156" s="2">
        <v>44639</v>
      </c>
      <c r="B1156" s="36">
        <v>42.426099999999998</v>
      </c>
      <c r="C1156" s="36">
        <v>42.426099999999998</v>
      </c>
      <c r="D1156" s="36">
        <v>42.426099999999998</v>
      </c>
      <c r="E1156" s="36">
        <v>42.426099999999998</v>
      </c>
    </row>
    <row r="1157" spans="1:5" x14ac:dyDescent="0.3">
      <c r="A1157" s="1">
        <v>44640</v>
      </c>
      <c r="B1157" s="37">
        <v>42.488999999999997</v>
      </c>
      <c r="C1157" s="37">
        <v>42.488999999999997</v>
      </c>
      <c r="D1157" s="37">
        <v>42.488999999999997</v>
      </c>
      <c r="E1157" s="37">
        <v>42.488999999999997</v>
      </c>
    </row>
    <row r="1158" spans="1:5" x14ac:dyDescent="0.3">
      <c r="A1158" s="2">
        <v>44641</v>
      </c>
      <c r="B1158" s="36">
        <v>42.552</v>
      </c>
      <c r="C1158" s="36">
        <v>42.552</v>
      </c>
      <c r="D1158" s="36">
        <v>42.552</v>
      </c>
      <c r="E1158" s="36">
        <v>42.552</v>
      </c>
    </row>
    <row r="1159" spans="1:5" x14ac:dyDescent="0.3">
      <c r="A1159" s="1">
        <v>44642</v>
      </c>
      <c r="B1159" s="37">
        <v>42.615099999999998</v>
      </c>
      <c r="C1159" s="37">
        <v>42.615099999999998</v>
      </c>
      <c r="D1159" s="37">
        <v>42.615099999999998</v>
      </c>
      <c r="E1159" s="37">
        <v>42.615099999999998</v>
      </c>
    </row>
    <row r="1160" spans="1:5" x14ac:dyDescent="0.3">
      <c r="A1160" s="2">
        <v>44643</v>
      </c>
      <c r="B1160" s="36">
        <v>42.6783</v>
      </c>
      <c r="C1160" s="36">
        <v>42.6783</v>
      </c>
      <c r="D1160" s="36">
        <v>42.6783</v>
      </c>
      <c r="E1160" s="36">
        <v>42.6783</v>
      </c>
    </row>
    <row r="1161" spans="1:5" x14ac:dyDescent="0.3">
      <c r="A1161" s="1">
        <v>44644</v>
      </c>
      <c r="B1161" s="37">
        <v>42.741599999999998</v>
      </c>
      <c r="C1161" s="37">
        <v>42.741599999999998</v>
      </c>
      <c r="D1161" s="37">
        <v>42.741599999999998</v>
      </c>
      <c r="E1161" s="37">
        <v>42.741599999999998</v>
      </c>
    </row>
    <row r="1162" spans="1:5" x14ac:dyDescent="0.3">
      <c r="A1162" s="2">
        <v>44645</v>
      </c>
      <c r="B1162" s="36">
        <v>42.805</v>
      </c>
      <c r="C1162" s="36">
        <v>42.805</v>
      </c>
      <c r="D1162" s="36">
        <v>42.805</v>
      </c>
      <c r="E1162" s="36">
        <v>42.805</v>
      </c>
    </row>
    <row r="1163" spans="1:5" x14ac:dyDescent="0.3">
      <c r="A1163" s="1">
        <v>44646</v>
      </c>
      <c r="B1163" s="37">
        <v>42.868400000000001</v>
      </c>
      <c r="C1163" s="37">
        <v>42.868400000000001</v>
      </c>
      <c r="D1163" s="37">
        <v>42.868400000000001</v>
      </c>
      <c r="E1163" s="37">
        <v>42.868400000000001</v>
      </c>
    </row>
    <row r="1164" spans="1:5" x14ac:dyDescent="0.3">
      <c r="A1164" s="2">
        <v>44647</v>
      </c>
      <c r="B1164" s="36">
        <v>42.932000000000002</v>
      </c>
      <c r="C1164" s="36">
        <v>42.932000000000002</v>
      </c>
      <c r="D1164" s="36">
        <v>42.932000000000002</v>
      </c>
      <c r="E1164" s="36">
        <v>42.932000000000002</v>
      </c>
    </row>
    <row r="1165" spans="1:5" x14ac:dyDescent="0.3">
      <c r="A1165" s="1">
        <v>44648</v>
      </c>
      <c r="B1165" s="37">
        <v>42.995600000000003</v>
      </c>
      <c r="C1165" s="37">
        <v>42.995600000000003</v>
      </c>
      <c r="D1165" s="37">
        <v>42.995600000000003</v>
      </c>
      <c r="E1165" s="37">
        <v>42.995600000000003</v>
      </c>
    </row>
    <row r="1166" spans="1:5" x14ac:dyDescent="0.3">
      <c r="A1166" s="2">
        <v>44649</v>
      </c>
      <c r="B1166" s="36">
        <v>43.059399999999997</v>
      </c>
      <c r="C1166" s="36">
        <v>43.059399999999997</v>
      </c>
      <c r="D1166" s="36">
        <v>43.059399999999997</v>
      </c>
      <c r="E1166" s="36">
        <v>43.059399999999997</v>
      </c>
    </row>
    <row r="1167" spans="1:5" x14ac:dyDescent="0.3">
      <c r="A1167" s="1">
        <v>44650</v>
      </c>
      <c r="B1167" s="37">
        <v>43.123199999999997</v>
      </c>
      <c r="C1167" s="37">
        <v>43.123199999999997</v>
      </c>
      <c r="D1167" s="37">
        <v>43.123199999999997</v>
      </c>
      <c r="E1167" s="37">
        <v>43.123199999999997</v>
      </c>
    </row>
    <row r="1168" spans="1:5" x14ac:dyDescent="0.3">
      <c r="A1168" s="2">
        <v>44651</v>
      </c>
      <c r="B1168" s="36">
        <v>43.187199999999997</v>
      </c>
      <c r="C1168" s="36">
        <v>43.187199999999997</v>
      </c>
      <c r="D1168" s="36">
        <v>43.187199999999997</v>
      </c>
      <c r="E1168" s="36">
        <v>43.187199999999997</v>
      </c>
    </row>
    <row r="1169" spans="1:5" x14ac:dyDescent="0.3">
      <c r="A1169" s="1">
        <v>44652</v>
      </c>
      <c r="B1169" s="37">
        <v>43.251199999999997</v>
      </c>
      <c r="C1169" s="37">
        <v>43.251199999999997</v>
      </c>
      <c r="D1169" s="37">
        <v>43.251199999999997</v>
      </c>
      <c r="E1169" s="37">
        <v>43.251199999999997</v>
      </c>
    </row>
    <row r="1170" spans="1:5" x14ac:dyDescent="0.3">
      <c r="A1170" s="2">
        <v>44653</v>
      </c>
      <c r="B1170" s="36">
        <v>43.315300000000001</v>
      </c>
      <c r="C1170" s="36">
        <v>43.315300000000001</v>
      </c>
      <c r="D1170" s="36">
        <v>43.315300000000001</v>
      </c>
      <c r="E1170" s="36">
        <v>43.315300000000001</v>
      </c>
    </row>
    <row r="1171" spans="1:5" x14ac:dyDescent="0.3">
      <c r="A1171" s="1">
        <v>44654</v>
      </c>
      <c r="B1171" s="37">
        <v>43.379600000000003</v>
      </c>
      <c r="C1171" s="37">
        <v>43.379600000000003</v>
      </c>
      <c r="D1171" s="37">
        <v>43.379600000000003</v>
      </c>
      <c r="E1171" s="37">
        <v>43.379600000000003</v>
      </c>
    </row>
    <row r="1172" spans="1:5" x14ac:dyDescent="0.3">
      <c r="A1172" s="2">
        <v>44655</v>
      </c>
      <c r="B1172" s="36">
        <v>43.443899999999999</v>
      </c>
      <c r="C1172" s="36">
        <v>43.443899999999999</v>
      </c>
      <c r="D1172" s="36">
        <v>43.443899999999999</v>
      </c>
      <c r="E1172" s="36">
        <v>43.443899999999999</v>
      </c>
    </row>
    <row r="1173" spans="1:5" x14ac:dyDescent="0.3">
      <c r="A1173" s="1">
        <v>44656</v>
      </c>
      <c r="B1173" s="37">
        <v>43.508299999999998</v>
      </c>
      <c r="C1173" s="37">
        <v>43.508299999999998</v>
      </c>
      <c r="D1173" s="37">
        <v>43.508299999999998</v>
      </c>
      <c r="E1173" s="37">
        <v>43.508299999999998</v>
      </c>
    </row>
    <row r="1174" spans="1:5" x14ac:dyDescent="0.3">
      <c r="A1174" s="2">
        <v>44657</v>
      </c>
      <c r="B1174" s="36">
        <v>43.572800000000001</v>
      </c>
      <c r="C1174" s="36">
        <v>43.572800000000001</v>
      </c>
      <c r="D1174" s="36">
        <v>43.572800000000001</v>
      </c>
      <c r="E1174" s="36">
        <v>43.572800000000001</v>
      </c>
    </row>
    <row r="1175" spans="1:5" x14ac:dyDescent="0.3">
      <c r="A1175" s="1">
        <v>44658</v>
      </c>
      <c r="B1175" s="37">
        <v>43.6374</v>
      </c>
      <c r="C1175" s="37">
        <v>43.6374</v>
      </c>
      <c r="D1175" s="37">
        <v>43.6374</v>
      </c>
      <c r="E1175" s="37">
        <v>43.6374</v>
      </c>
    </row>
    <row r="1176" spans="1:5" x14ac:dyDescent="0.3">
      <c r="A1176" s="2">
        <v>44659</v>
      </c>
      <c r="B1176" s="36">
        <v>43.702100000000002</v>
      </c>
      <c r="C1176" s="36">
        <v>43.702100000000002</v>
      </c>
      <c r="D1176" s="36">
        <v>43.702100000000002</v>
      </c>
      <c r="E1176" s="36">
        <v>43.702100000000002</v>
      </c>
    </row>
    <row r="1177" spans="1:5" x14ac:dyDescent="0.3">
      <c r="A1177" s="1">
        <v>44660</v>
      </c>
      <c r="B1177" s="37">
        <v>43.7669</v>
      </c>
      <c r="C1177" s="37">
        <v>43.7669</v>
      </c>
      <c r="D1177" s="37">
        <v>43.7669</v>
      </c>
      <c r="E1177" s="37">
        <v>43.7669</v>
      </c>
    </row>
    <row r="1178" spans="1:5" x14ac:dyDescent="0.3">
      <c r="A1178" s="2">
        <v>44661</v>
      </c>
      <c r="B1178" s="36">
        <v>43.831800000000001</v>
      </c>
      <c r="C1178" s="36">
        <v>43.831800000000001</v>
      </c>
      <c r="D1178" s="36">
        <v>43.831800000000001</v>
      </c>
      <c r="E1178" s="36">
        <v>43.831800000000001</v>
      </c>
    </row>
    <row r="1179" spans="1:5" x14ac:dyDescent="0.3">
      <c r="A1179" s="1">
        <v>44662</v>
      </c>
      <c r="B1179" s="37">
        <v>43.896799999999999</v>
      </c>
      <c r="C1179" s="37">
        <v>43.896799999999999</v>
      </c>
      <c r="D1179" s="37">
        <v>43.896799999999999</v>
      </c>
      <c r="E1179" s="37">
        <v>43.896799999999999</v>
      </c>
    </row>
    <row r="1180" spans="1:5" x14ac:dyDescent="0.3">
      <c r="A1180" s="2">
        <v>44663</v>
      </c>
      <c r="B1180" s="36">
        <v>43.9619</v>
      </c>
      <c r="C1180" s="36">
        <v>43.9619</v>
      </c>
      <c r="D1180" s="36">
        <v>43.9619</v>
      </c>
      <c r="E1180" s="36">
        <v>43.9619</v>
      </c>
    </row>
    <row r="1181" spans="1:5" x14ac:dyDescent="0.3">
      <c r="A1181" s="1">
        <v>44664</v>
      </c>
      <c r="B1181" s="37">
        <v>44.027000000000001</v>
      </c>
      <c r="C1181" s="37">
        <v>44.027000000000001</v>
      </c>
      <c r="D1181" s="37">
        <v>44.027000000000001</v>
      </c>
      <c r="E1181" s="37">
        <v>44.027000000000001</v>
      </c>
    </row>
    <row r="1182" spans="1:5" x14ac:dyDescent="0.3">
      <c r="A1182" s="2">
        <v>44665</v>
      </c>
      <c r="B1182" s="36">
        <v>44.092300000000002</v>
      </c>
      <c r="C1182" s="36">
        <v>44.092300000000002</v>
      </c>
      <c r="D1182" s="36">
        <v>44.092300000000002</v>
      </c>
      <c r="E1182" s="36">
        <v>44.092300000000002</v>
      </c>
    </row>
    <row r="1183" spans="1:5" x14ac:dyDescent="0.3">
      <c r="A1183" s="1">
        <v>44666</v>
      </c>
      <c r="B1183" s="37">
        <v>44.157699999999998</v>
      </c>
      <c r="C1183" s="37">
        <v>44.157699999999998</v>
      </c>
      <c r="D1183" s="37">
        <v>44.157699999999998</v>
      </c>
      <c r="E1183" s="37">
        <v>44.157699999999998</v>
      </c>
    </row>
    <row r="1184" spans="1:5" x14ac:dyDescent="0.3">
      <c r="A1184" s="2">
        <v>44667</v>
      </c>
      <c r="B1184" s="36">
        <v>44.253300000000003</v>
      </c>
      <c r="C1184" s="36">
        <v>44.253300000000003</v>
      </c>
      <c r="D1184" s="36">
        <v>44.253300000000003</v>
      </c>
      <c r="E1184" s="36">
        <v>44.253300000000003</v>
      </c>
    </row>
    <row r="1185" spans="1:5" x14ac:dyDescent="0.3">
      <c r="A1185" s="1">
        <v>44668</v>
      </c>
      <c r="B1185" s="37">
        <v>44.348999999999997</v>
      </c>
      <c r="C1185" s="37">
        <v>44.348999999999997</v>
      </c>
      <c r="D1185" s="37">
        <v>44.348999999999997</v>
      </c>
      <c r="E1185" s="37">
        <v>44.348999999999997</v>
      </c>
    </row>
    <row r="1186" spans="1:5" x14ac:dyDescent="0.3">
      <c r="A1186" s="2">
        <v>44669</v>
      </c>
      <c r="B1186" s="36">
        <v>44.445</v>
      </c>
      <c r="C1186" s="36">
        <v>44.445</v>
      </c>
      <c r="D1186" s="36">
        <v>44.445</v>
      </c>
      <c r="E1186" s="36">
        <v>44.445</v>
      </c>
    </row>
    <row r="1187" spans="1:5" x14ac:dyDescent="0.3">
      <c r="A1187" s="1">
        <v>44670</v>
      </c>
      <c r="B1187" s="37">
        <v>44.541200000000003</v>
      </c>
      <c r="C1187" s="37">
        <v>44.541200000000003</v>
      </c>
      <c r="D1187" s="37">
        <v>44.541200000000003</v>
      </c>
      <c r="E1187" s="37">
        <v>44.541200000000003</v>
      </c>
    </row>
    <row r="1188" spans="1:5" x14ac:dyDescent="0.3">
      <c r="A1188" s="2">
        <v>44671</v>
      </c>
      <c r="B1188" s="36">
        <v>44.637599999999999</v>
      </c>
      <c r="C1188" s="36">
        <v>44.637599999999999</v>
      </c>
      <c r="D1188" s="36">
        <v>44.637599999999999</v>
      </c>
      <c r="E1188" s="36">
        <v>44.637599999999999</v>
      </c>
    </row>
    <row r="1189" spans="1:5" x14ac:dyDescent="0.3">
      <c r="A1189" s="1">
        <v>44672</v>
      </c>
      <c r="B1189" s="37">
        <v>44.734200000000001</v>
      </c>
      <c r="C1189" s="37">
        <v>44.734200000000001</v>
      </c>
      <c r="D1189" s="37">
        <v>44.734200000000001</v>
      </c>
      <c r="E1189" s="37">
        <v>44.734200000000001</v>
      </c>
    </row>
    <row r="1190" spans="1:5" x14ac:dyDescent="0.3">
      <c r="A1190" s="2">
        <v>44673</v>
      </c>
      <c r="B1190" s="36">
        <v>44.831000000000003</v>
      </c>
      <c r="C1190" s="36">
        <v>44.831000000000003</v>
      </c>
      <c r="D1190" s="36">
        <v>44.831000000000003</v>
      </c>
      <c r="E1190" s="36">
        <v>44.831000000000003</v>
      </c>
    </row>
    <row r="1191" spans="1:5" x14ac:dyDescent="0.3">
      <c r="A1191" s="1">
        <v>44674</v>
      </c>
      <c r="B1191" s="37">
        <v>44.927999999999997</v>
      </c>
      <c r="C1191" s="37">
        <v>44.927999999999997</v>
      </c>
      <c r="D1191" s="37">
        <v>44.927999999999997</v>
      </c>
      <c r="E1191" s="37">
        <v>44.927999999999997</v>
      </c>
    </row>
    <row r="1192" spans="1:5" x14ac:dyDescent="0.3">
      <c r="A1192" s="2">
        <v>44675</v>
      </c>
      <c r="B1192" s="36">
        <v>45.025199999999998</v>
      </c>
      <c r="C1192" s="36">
        <v>45.025199999999998</v>
      </c>
      <c r="D1192" s="36">
        <v>45.025199999999998</v>
      </c>
      <c r="E1192" s="36">
        <v>45.025199999999998</v>
      </c>
    </row>
    <row r="1193" spans="1:5" x14ac:dyDescent="0.3">
      <c r="A1193" s="1">
        <v>44676</v>
      </c>
      <c r="B1193" s="37">
        <v>45.122599999999998</v>
      </c>
      <c r="C1193" s="37">
        <v>45.122599999999998</v>
      </c>
      <c r="D1193" s="37">
        <v>45.122599999999998</v>
      </c>
      <c r="E1193" s="37">
        <v>45.122599999999998</v>
      </c>
    </row>
    <row r="1194" spans="1:5" x14ac:dyDescent="0.3">
      <c r="A1194" s="2">
        <v>44677</v>
      </c>
      <c r="B1194" s="36">
        <v>45.220300000000002</v>
      </c>
      <c r="C1194" s="36">
        <v>45.220300000000002</v>
      </c>
      <c r="D1194" s="36">
        <v>45.220300000000002</v>
      </c>
      <c r="E1194" s="36">
        <v>45.220300000000002</v>
      </c>
    </row>
    <row r="1195" spans="1:5" x14ac:dyDescent="0.3">
      <c r="A1195" s="1">
        <v>44678</v>
      </c>
      <c r="B1195" s="37">
        <v>45.318199999999997</v>
      </c>
      <c r="C1195" s="37">
        <v>45.318199999999997</v>
      </c>
      <c r="D1195" s="37">
        <v>45.318199999999997</v>
      </c>
      <c r="E1195" s="37">
        <v>45.318199999999997</v>
      </c>
    </row>
    <row r="1196" spans="1:5" x14ac:dyDescent="0.3">
      <c r="A1196" s="2">
        <v>44679</v>
      </c>
      <c r="B1196" s="36">
        <v>45.416200000000003</v>
      </c>
      <c r="C1196" s="36">
        <v>45.416200000000003</v>
      </c>
      <c r="D1196" s="36">
        <v>45.416200000000003</v>
      </c>
      <c r="E1196" s="36">
        <v>45.416200000000003</v>
      </c>
    </row>
    <row r="1197" spans="1:5" x14ac:dyDescent="0.3">
      <c r="A1197" s="1">
        <v>44680</v>
      </c>
      <c r="B1197" s="37">
        <v>45.514499999999998</v>
      </c>
      <c r="C1197" s="37">
        <v>45.514499999999998</v>
      </c>
      <c r="D1197" s="37">
        <v>45.514499999999998</v>
      </c>
      <c r="E1197" s="37">
        <v>45.514499999999998</v>
      </c>
    </row>
    <row r="1198" spans="1:5" x14ac:dyDescent="0.3">
      <c r="A1198" s="2">
        <v>44681</v>
      </c>
      <c r="B1198" s="36">
        <v>45.613</v>
      </c>
      <c r="C1198" s="36">
        <v>45.613</v>
      </c>
      <c r="D1198" s="36">
        <v>45.613</v>
      </c>
      <c r="E1198" s="36">
        <v>45.613</v>
      </c>
    </row>
    <row r="1199" spans="1:5" x14ac:dyDescent="0.3">
      <c r="A1199" s="1">
        <v>44682</v>
      </c>
      <c r="B1199" s="37">
        <v>45.7117</v>
      </c>
      <c r="C1199" s="37">
        <v>45.7117</v>
      </c>
      <c r="D1199" s="37">
        <v>45.7117</v>
      </c>
      <c r="E1199" s="37">
        <v>45.7117</v>
      </c>
    </row>
    <row r="1200" spans="1:5" x14ac:dyDescent="0.3">
      <c r="A1200" s="2">
        <v>44683</v>
      </c>
      <c r="B1200" s="36">
        <v>45.810600000000001</v>
      </c>
      <c r="C1200" s="36">
        <v>45.810600000000001</v>
      </c>
      <c r="D1200" s="36">
        <v>45.810600000000001</v>
      </c>
      <c r="E1200" s="36">
        <v>45.810600000000001</v>
      </c>
    </row>
    <row r="1201" spans="1:5" x14ac:dyDescent="0.3">
      <c r="A1201" s="1">
        <v>44684</v>
      </c>
      <c r="B1201" s="37">
        <v>45.909799999999997</v>
      </c>
      <c r="C1201" s="37">
        <v>45.909799999999997</v>
      </c>
      <c r="D1201" s="37">
        <v>45.909799999999997</v>
      </c>
      <c r="E1201" s="37">
        <v>45.909799999999997</v>
      </c>
    </row>
    <row r="1202" spans="1:5" x14ac:dyDescent="0.3">
      <c r="A1202" s="2">
        <v>44685</v>
      </c>
      <c r="B1202" s="36">
        <v>46.009099999999997</v>
      </c>
      <c r="C1202" s="36">
        <v>46.009099999999997</v>
      </c>
      <c r="D1202" s="36">
        <v>46.009099999999997</v>
      </c>
      <c r="E1202" s="36">
        <v>46.009099999999997</v>
      </c>
    </row>
    <row r="1203" spans="1:5" x14ac:dyDescent="0.3">
      <c r="A1203" s="1">
        <v>44686</v>
      </c>
      <c r="B1203" s="37">
        <v>46.108699999999999</v>
      </c>
      <c r="C1203" s="37">
        <v>46.108699999999999</v>
      </c>
      <c r="D1203" s="37">
        <v>46.108699999999999</v>
      </c>
      <c r="E1203" s="37">
        <v>46.108699999999999</v>
      </c>
    </row>
    <row r="1204" spans="1:5" x14ac:dyDescent="0.3">
      <c r="A1204" s="2">
        <v>44687</v>
      </c>
      <c r="B1204" s="36">
        <v>46.208500000000001</v>
      </c>
      <c r="C1204" s="36">
        <v>46.208500000000001</v>
      </c>
      <c r="D1204" s="36">
        <v>46.208500000000001</v>
      </c>
      <c r="E1204" s="36">
        <v>46.208500000000001</v>
      </c>
    </row>
    <row r="1205" spans="1:5" x14ac:dyDescent="0.3">
      <c r="A1205" s="1">
        <v>44688</v>
      </c>
      <c r="B1205" s="37">
        <v>46.308500000000002</v>
      </c>
      <c r="C1205" s="37">
        <v>46.308500000000002</v>
      </c>
      <c r="D1205" s="37">
        <v>46.308500000000002</v>
      </c>
      <c r="E1205" s="37">
        <v>46.308500000000002</v>
      </c>
    </row>
    <row r="1206" spans="1:5" x14ac:dyDescent="0.3">
      <c r="A1206" s="2">
        <v>44689</v>
      </c>
      <c r="B1206" s="36">
        <v>46.408700000000003</v>
      </c>
      <c r="C1206" s="36">
        <v>46.408700000000003</v>
      </c>
      <c r="D1206" s="36">
        <v>46.408700000000003</v>
      </c>
      <c r="E1206" s="36">
        <v>46.408700000000003</v>
      </c>
    </row>
    <row r="1207" spans="1:5" x14ac:dyDescent="0.3">
      <c r="A1207" s="1">
        <v>44690</v>
      </c>
      <c r="B1207" s="37">
        <v>46.509099999999997</v>
      </c>
      <c r="C1207" s="37">
        <v>46.509099999999997</v>
      </c>
      <c r="D1207" s="37">
        <v>46.509099999999997</v>
      </c>
      <c r="E1207" s="37">
        <v>46.509099999999997</v>
      </c>
    </row>
    <row r="1208" spans="1:5" x14ac:dyDescent="0.3">
      <c r="A1208" s="2">
        <v>44691</v>
      </c>
      <c r="B1208" s="36">
        <v>46.6098</v>
      </c>
      <c r="C1208" s="36">
        <v>46.6098</v>
      </c>
      <c r="D1208" s="36">
        <v>46.6098</v>
      </c>
      <c r="E1208" s="36">
        <v>46.6098</v>
      </c>
    </row>
    <row r="1209" spans="1:5" x14ac:dyDescent="0.3">
      <c r="A1209" s="1">
        <v>44692</v>
      </c>
      <c r="B1209" s="37">
        <v>46.710599999999999</v>
      </c>
      <c r="C1209" s="37">
        <v>46.710599999999999</v>
      </c>
      <c r="D1209" s="37">
        <v>46.710599999999999</v>
      </c>
      <c r="E1209" s="37">
        <v>46.710599999999999</v>
      </c>
    </row>
    <row r="1210" spans="1:5" x14ac:dyDescent="0.3">
      <c r="A1210" s="2">
        <v>44693</v>
      </c>
      <c r="B1210" s="36">
        <v>46.811700000000002</v>
      </c>
      <c r="C1210" s="36">
        <v>46.811700000000002</v>
      </c>
      <c r="D1210" s="36">
        <v>46.811700000000002</v>
      </c>
      <c r="E1210" s="36">
        <v>46.811700000000002</v>
      </c>
    </row>
    <row r="1211" spans="1:5" x14ac:dyDescent="0.3">
      <c r="A1211" s="1">
        <v>44694</v>
      </c>
      <c r="B1211" s="37">
        <v>46.912999999999997</v>
      </c>
      <c r="C1211" s="37">
        <v>46.912999999999997</v>
      </c>
      <c r="D1211" s="37">
        <v>46.912999999999997</v>
      </c>
      <c r="E1211" s="37">
        <v>46.912999999999997</v>
      </c>
    </row>
    <row r="1212" spans="1:5" x14ac:dyDescent="0.3">
      <c r="A1212" s="2">
        <v>44695</v>
      </c>
      <c r="B1212" s="36">
        <v>47.014499999999998</v>
      </c>
      <c r="C1212" s="36">
        <v>47.014499999999998</v>
      </c>
      <c r="D1212" s="36">
        <v>47.014499999999998</v>
      </c>
      <c r="E1212" s="36">
        <v>47.014499999999998</v>
      </c>
    </row>
    <row r="1213" spans="1:5" x14ac:dyDescent="0.3">
      <c r="A1213" s="1">
        <v>44696</v>
      </c>
      <c r="B1213" s="37">
        <v>47.116300000000003</v>
      </c>
      <c r="C1213" s="37">
        <v>47.116300000000003</v>
      </c>
      <c r="D1213" s="37">
        <v>47.116300000000003</v>
      </c>
      <c r="E1213" s="37">
        <v>47.116300000000003</v>
      </c>
    </row>
    <row r="1214" spans="1:5" x14ac:dyDescent="0.3">
      <c r="A1214" s="2">
        <v>44697</v>
      </c>
      <c r="B1214" s="36">
        <v>47.204900000000002</v>
      </c>
      <c r="C1214" s="36">
        <v>47.204900000000002</v>
      </c>
      <c r="D1214" s="36">
        <v>47.204900000000002</v>
      </c>
      <c r="E1214" s="36">
        <v>47.204900000000002</v>
      </c>
    </row>
    <row r="1215" spans="1:5" x14ac:dyDescent="0.3">
      <c r="A1215" s="1">
        <v>44698</v>
      </c>
      <c r="B1215" s="37">
        <v>47.293700000000001</v>
      </c>
      <c r="C1215" s="37">
        <v>47.293700000000001</v>
      </c>
      <c r="D1215" s="37">
        <v>47.293700000000001</v>
      </c>
      <c r="E1215" s="37">
        <v>47.293700000000001</v>
      </c>
    </row>
    <row r="1216" spans="1:5" x14ac:dyDescent="0.3">
      <c r="A1216" s="2">
        <v>44699</v>
      </c>
      <c r="B1216" s="36">
        <v>47.3827</v>
      </c>
      <c r="C1216" s="36">
        <v>47.3827</v>
      </c>
      <c r="D1216" s="36">
        <v>47.3827</v>
      </c>
      <c r="E1216" s="36">
        <v>47.3827</v>
      </c>
    </row>
    <row r="1217" spans="1:5" x14ac:dyDescent="0.3">
      <c r="A1217" s="1">
        <v>44700</v>
      </c>
      <c r="B1217" s="37">
        <v>47.471800000000002</v>
      </c>
      <c r="C1217" s="37">
        <v>47.471800000000002</v>
      </c>
      <c r="D1217" s="37">
        <v>47.471800000000002</v>
      </c>
      <c r="E1217" s="37">
        <v>47.471800000000002</v>
      </c>
    </row>
    <row r="1218" spans="1:5" x14ac:dyDescent="0.3">
      <c r="A1218" s="2">
        <v>44701</v>
      </c>
      <c r="B1218" s="36">
        <v>47.561199999999999</v>
      </c>
      <c r="C1218" s="36">
        <v>47.561199999999999</v>
      </c>
      <c r="D1218" s="36">
        <v>47.561199999999999</v>
      </c>
      <c r="E1218" s="36">
        <v>47.561199999999999</v>
      </c>
    </row>
    <row r="1219" spans="1:5" x14ac:dyDescent="0.3">
      <c r="A1219" s="1">
        <v>44702</v>
      </c>
      <c r="B1219" s="37">
        <v>47.650599999999997</v>
      </c>
      <c r="C1219" s="37">
        <v>47.650599999999997</v>
      </c>
      <c r="D1219" s="37">
        <v>47.650599999999997</v>
      </c>
      <c r="E1219" s="37">
        <v>47.650599999999997</v>
      </c>
    </row>
    <row r="1220" spans="1:5" x14ac:dyDescent="0.3">
      <c r="A1220" s="2">
        <v>44703</v>
      </c>
      <c r="B1220" s="36">
        <v>47.740299999999998</v>
      </c>
      <c r="C1220" s="36">
        <v>47.740299999999998</v>
      </c>
      <c r="D1220" s="36">
        <v>47.740299999999998</v>
      </c>
      <c r="E1220" s="36">
        <v>47.740299999999998</v>
      </c>
    </row>
    <row r="1221" spans="1:5" x14ac:dyDescent="0.3">
      <c r="A1221" s="1">
        <v>44704</v>
      </c>
      <c r="B1221" s="37">
        <v>47.830100000000002</v>
      </c>
      <c r="C1221" s="37">
        <v>47.830100000000002</v>
      </c>
      <c r="D1221" s="37">
        <v>47.830100000000002</v>
      </c>
      <c r="E1221" s="37">
        <v>47.830100000000002</v>
      </c>
    </row>
    <row r="1222" spans="1:5" x14ac:dyDescent="0.3">
      <c r="A1222" s="2">
        <v>44705</v>
      </c>
      <c r="B1222" s="36">
        <v>47.920099999999998</v>
      </c>
      <c r="C1222" s="36">
        <v>47.920099999999998</v>
      </c>
      <c r="D1222" s="36">
        <v>47.920099999999998</v>
      </c>
      <c r="E1222" s="36">
        <v>47.920099999999998</v>
      </c>
    </row>
    <row r="1223" spans="1:5" x14ac:dyDescent="0.3">
      <c r="A1223" s="1">
        <v>44706</v>
      </c>
      <c r="B1223" s="37">
        <v>48.010300000000001</v>
      </c>
      <c r="C1223" s="37">
        <v>48.010300000000001</v>
      </c>
      <c r="D1223" s="37">
        <v>48.010300000000001</v>
      </c>
      <c r="E1223" s="37">
        <v>48.010300000000001</v>
      </c>
    </row>
    <row r="1224" spans="1:5" x14ac:dyDescent="0.3">
      <c r="A1224" s="2">
        <v>44707</v>
      </c>
      <c r="B1224" s="36">
        <v>48.1006</v>
      </c>
      <c r="C1224" s="36">
        <v>48.1006</v>
      </c>
      <c r="D1224" s="36">
        <v>48.1006</v>
      </c>
      <c r="E1224" s="36">
        <v>48.1006</v>
      </c>
    </row>
    <row r="1225" spans="1:5" x14ac:dyDescent="0.3">
      <c r="A1225" s="1">
        <v>44708</v>
      </c>
      <c r="B1225" s="37">
        <v>48.191099999999999</v>
      </c>
      <c r="C1225" s="37">
        <v>48.191099999999999</v>
      </c>
      <c r="D1225" s="37">
        <v>48.191099999999999</v>
      </c>
      <c r="E1225" s="37">
        <v>48.191099999999999</v>
      </c>
    </row>
    <row r="1226" spans="1:5" x14ac:dyDescent="0.3">
      <c r="A1226" s="2">
        <v>44709</v>
      </c>
      <c r="B1226" s="36">
        <v>48.281700000000001</v>
      </c>
      <c r="C1226" s="36">
        <v>48.281700000000001</v>
      </c>
      <c r="D1226" s="36">
        <v>48.281700000000001</v>
      </c>
      <c r="E1226" s="36">
        <v>48.281700000000001</v>
      </c>
    </row>
    <row r="1227" spans="1:5" x14ac:dyDescent="0.3">
      <c r="A1227" s="1">
        <v>44710</v>
      </c>
      <c r="B1227" s="37">
        <v>48.372599999999998</v>
      </c>
      <c r="C1227" s="37">
        <v>48.372599999999998</v>
      </c>
      <c r="D1227" s="37">
        <v>48.372599999999998</v>
      </c>
      <c r="E1227" s="37">
        <v>48.372599999999998</v>
      </c>
    </row>
    <row r="1228" spans="1:5" x14ac:dyDescent="0.3">
      <c r="A1228" s="2">
        <v>44711</v>
      </c>
      <c r="B1228" s="36">
        <v>48.4636</v>
      </c>
      <c r="C1228" s="36">
        <v>48.4636</v>
      </c>
      <c r="D1228" s="36">
        <v>48.4636</v>
      </c>
      <c r="E1228" s="36">
        <v>48.4636</v>
      </c>
    </row>
    <row r="1229" spans="1:5" x14ac:dyDescent="0.3">
      <c r="A1229" s="1">
        <v>44712</v>
      </c>
      <c r="B1229" s="37">
        <v>48.5548</v>
      </c>
      <c r="C1229" s="37">
        <v>48.5548</v>
      </c>
      <c r="D1229" s="37">
        <v>48.5548</v>
      </c>
      <c r="E1229" s="37">
        <v>48.5548</v>
      </c>
    </row>
    <row r="1230" spans="1:5" x14ac:dyDescent="0.3">
      <c r="A1230" s="2">
        <v>44713</v>
      </c>
      <c r="B1230" s="36">
        <v>48.646099999999997</v>
      </c>
      <c r="C1230" s="36">
        <v>48.646099999999997</v>
      </c>
      <c r="D1230" s="36">
        <v>48.646099999999997</v>
      </c>
      <c r="E1230" s="36">
        <v>48.646099999999997</v>
      </c>
    </row>
    <row r="1231" spans="1:5" x14ac:dyDescent="0.3">
      <c r="A1231" s="1">
        <v>44714</v>
      </c>
      <c r="B1231" s="37">
        <v>48.7376</v>
      </c>
      <c r="C1231" s="37">
        <v>48.7376</v>
      </c>
      <c r="D1231" s="37">
        <v>48.7376</v>
      </c>
      <c r="E1231" s="37">
        <v>48.7376</v>
      </c>
    </row>
    <row r="1232" spans="1:5" x14ac:dyDescent="0.3">
      <c r="A1232" s="2">
        <v>44715</v>
      </c>
      <c r="B1232" s="36">
        <v>48.829300000000003</v>
      </c>
      <c r="C1232" s="36">
        <v>48.829300000000003</v>
      </c>
      <c r="D1232" s="36">
        <v>48.829300000000003</v>
      </c>
      <c r="E1232" s="36">
        <v>48.829300000000003</v>
      </c>
    </row>
    <row r="1233" spans="1:5" x14ac:dyDescent="0.3">
      <c r="A1233" s="1">
        <v>44716</v>
      </c>
      <c r="B1233" s="37">
        <v>48.921199999999999</v>
      </c>
      <c r="C1233" s="37">
        <v>48.921199999999999</v>
      </c>
      <c r="D1233" s="37">
        <v>48.921199999999999</v>
      </c>
      <c r="E1233" s="37">
        <v>48.921199999999999</v>
      </c>
    </row>
    <row r="1234" spans="1:5" x14ac:dyDescent="0.3">
      <c r="A1234" s="2">
        <v>44717</v>
      </c>
      <c r="B1234" s="36">
        <v>49.013300000000001</v>
      </c>
      <c r="C1234" s="36">
        <v>49.013300000000001</v>
      </c>
      <c r="D1234" s="36">
        <v>49.013300000000001</v>
      </c>
      <c r="E1234" s="36">
        <v>49.013300000000001</v>
      </c>
    </row>
    <row r="1235" spans="1:5" x14ac:dyDescent="0.3">
      <c r="A1235" s="1">
        <v>44718</v>
      </c>
      <c r="B1235" s="37">
        <v>49.105499999999999</v>
      </c>
      <c r="C1235" s="37">
        <v>49.105499999999999</v>
      </c>
      <c r="D1235" s="37">
        <v>49.105499999999999</v>
      </c>
      <c r="E1235" s="37">
        <v>49.105499999999999</v>
      </c>
    </row>
    <row r="1236" spans="1:5" x14ac:dyDescent="0.3">
      <c r="A1236" s="2">
        <v>44719</v>
      </c>
      <c r="B1236" s="36">
        <v>49.197899999999997</v>
      </c>
      <c r="C1236" s="36">
        <v>49.197899999999997</v>
      </c>
      <c r="D1236" s="36">
        <v>49.197899999999997</v>
      </c>
      <c r="E1236" s="36">
        <v>49.197899999999997</v>
      </c>
    </row>
    <row r="1237" spans="1:5" x14ac:dyDescent="0.3">
      <c r="A1237" s="1">
        <v>44720</v>
      </c>
      <c r="B1237" s="37">
        <v>49.290399999999998</v>
      </c>
      <c r="C1237" s="37">
        <v>49.290399999999998</v>
      </c>
      <c r="D1237" s="37">
        <v>49.290399999999998</v>
      </c>
      <c r="E1237" s="37">
        <v>49.290399999999998</v>
      </c>
    </row>
    <row r="1238" spans="1:5" x14ac:dyDescent="0.3">
      <c r="A1238" s="2">
        <v>44721</v>
      </c>
      <c r="B1238" s="36">
        <v>49.383200000000002</v>
      </c>
      <c r="C1238" s="36">
        <v>49.383200000000002</v>
      </c>
      <c r="D1238" s="36">
        <v>49.383200000000002</v>
      </c>
      <c r="E1238" s="36">
        <v>49.383200000000002</v>
      </c>
    </row>
    <row r="1239" spans="1:5" x14ac:dyDescent="0.3">
      <c r="A1239" s="1">
        <v>44722</v>
      </c>
      <c r="B1239" s="37">
        <v>49.476100000000002</v>
      </c>
      <c r="C1239" s="37">
        <v>49.476100000000002</v>
      </c>
      <c r="D1239" s="37">
        <v>49.476100000000002</v>
      </c>
      <c r="E1239" s="37">
        <v>49.476100000000002</v>
      </c>
    </row>
    <row r="1240" spans="1:5" x14ac:dyDescent="0.3">
      <c r="A1240" s="2">
        <v>44723</v>
      </c>
      <c r="B1240" s="36">
        <v>49.569099999999999</v>
      </c>
      <c r="C1240" s="36">
        <v>49.569099999999999</v>
      </c>
      <c r="D1240" s="36">
        <v>49.569099999999999</v>
      </c>
      <c r="E1240" s="36">
        <v>49.569099999999999</v>
      </c>
    </row>
    <row r="1241" spans="1:5" x14ac:dyDescent="0.3">
      <c r="A1241" s="1">
        <v>44724</v>
      </c>
      <c r="B1241" s="37">
        <v>49.662399999999998</v>
      </c>
      <c r="C1241" s="37">
        <v>49.662399999999998</v>
      </c>
      <c r="D1241" s="37">
        <v>49.662399999999998</v>
      </c>
      <c r="E1241" s="37">
        <v>49.662399999999998</v>
      </c>
    </row>
    <row r="1242" spans="1:5" x14ac:dyDescent="0.3">
      <c r="A1242" s="2">
        <v>44725</v>
      </c>
      <c r="B1242" s="36">
        <v>49.755800000000001</v>
      </c>
      <c r="C1242" s="36">
        <v>49.755800000000001</v>
      </c>
      <c r="D1242" s="36">
        <v>49.755800000000001</v>
      </c>
      <c r="E1242" s="36">
        <v>49.755800000000001</v>
      </c>
    </row>
    <row r="1243" spans="1:5" x14ac:dyDescent="0.3">
      <c r="A1243" s="1">
        <v>44726</v>
      </c>
      <c r="B1243" s="37">
        <v>49.849499999999999</v>
      </c>
      <c r="C1243" s="37">
        <v>49.849499999999999</v>
      </c>
      <c r="D1243" s="37">
        <v>49.849499999999999</v>
      </c>
      <c r="E1243" s="37">
        <v>49.849499999999999</v>
      </c>
    </row>
    <row r="1244" spans="1:5" x14ac:dyDescent="0.3">
      <c r="A1244" s="2">
        <v>44727</v>
      </c>
      <c r="B1244" s="36">
        <v>49.943199999999997</v>
      </c>
      <c r="C1244" s="36">
        <v>49.943199999999997</v>
      </c>
      <c r="D1244" s="36">
        <v>49.943199999999997</v>
      </c>
      <c r="E1244" s="36">
        <v>49.943199999999997</v>
      </c>
    </row>
    <row r="1245" spans="1:5" x14ac:dyDescent="0.3">
      <c r="A1245" s="1">
        <v>44728</v>
      </c>
      <c r="B1245" s="37">
        <v>50.0261</v>
      </c>
      <c r="C1245" s="37">
        <v>50.0261</v>
      </c>
      <c r="D1245" s="37">
        <v>50.0261</v>
      </c>
      <c r="E1245" s="37">
        <v>50.0261</v>
      </c>
    </row>
    <row r="1246" spans="1:5" x14ac:dyDescent="0.3">
      <c r="A1246" s="2">
        <v>44729</v>
      </c>
      <c r="B1246" s="36">
        <v>50.109099999999998</v>
      </c>
      <c r="C1246" s="36">
        <v>50.109099999999998</v>
      </c>
      <c r="D1246" s="36">
        <v>50.109099999999998</v>
      </c>
      <c r="E1246" s="36">
        <v>50.109099999999998</v>
      </c>
    </row>
    <row r="1247" spans="1:5" x14ac:dyDescent="0.3">
      <c r="A1247" s="1">
        <v>44730</v>
      </c>
      <c r="B1247" s="37">
        <v>50.192300000000003</v>
      </c>
      <c r="C1247" s="37">
        <v>50.192300000000003</v>
      </c>
      <c r="D1247" s="37">
        <v>50.192300000000003</v>
      </c>
      <c r="E1247" s="37">
        <v>50.192300000000003</v>
      </c>
    </row>
    <row r="1248" spans="1:5" x14ac:dyDescent="0.3">
      <c r="A1248" s="2">
        <v>44731</v>
      </c>
      <c r="B1248" s="36">
        <v>50.275599999999997</v>
      </c>
      <c r="C1248" s="36">
        <v>50.275599999999997</v>
      </c>
      <c r="D1248" s="36">
        <v>50.275599999999997</v>
      </c>
      <c r="E1248" s="36">
        <v>50.275599999999997</v>
      </c>
    </row>
    <row r="1249" spans="1:5" x14ac:dyDescent="0.3">
      <c r="A1249" s="1">
        <v>44732</v>
      </c>
      <c r="B1249" s="37">
        <v>50.359000000000002</v>
      </c>
      <c r="C1249" s="37">
        <v>50.359000000000002</v>
      </c>
      <c r="D1249" s="37">
        <v>50.359000000000002</v>
      </c>
      <c r="E1249" s="37">
        <v>50.359000000000002</v>
      </c>
    </row>
    <row r="1250" spans="1:5" x14ac:dyDescent="0.3">
      <c r="A1250" s="2">
        <v>44733</v>
      </c>
      <c r="B1250" s="36">
        <v>50.442599999999999</v>
      </c>
      <c r="C1250" s="36">
        <v>50.442599999999999</v>
      </c>
      <c r="D1250" s="36">
        <v>50.442599999999999</v>
      </c>
      <c r="E1250" s="36">
        <v>50.442599999999999</v>
      </c>
    </row>
    <row r="1251" spans="1:5" x14ac:dyDescent="0.3">
      <c r="A1251" s="1">
        <v>44734</v>
      </c>
      <c r="B1251" s="37">
        <v>50.526299999999999</v>
      </c>
      <c r="C1251" s="37">
        <v>50.526299999999999</v>
      </c>
      <c r="D1251" s="37">
        <v>50.526299999999999</v>
      </c>
      <c r="E1251" s="37">
        <v>50.526299999999999</v>
      </c>
    </row>
    <row r="1252" spans="1:5" x14ac:dyDescent="0.3">
      <c r="A1252" s="2">
        <v>44735</v>
      </c>
      <c r="B1252" s="36">
        <v>50.610100000000003</v>
      </c>
      <c r="C1252" s="36">
        <v>50.610100000000003</v>
      </c>
      <c r="D1252" s="36">
        <v>50.610100000000003</v>
      </c>
      <c r="E1252" s="36">
        <v>50.610100000000003</v>
      </c>
    </row>
    <row r="1253" spans="1:5" x14ac:dyDescent="0.3">
      <c r="A1253" s="1">
        <v>44736</v>
      </c>
      <c r="B1253" s="37">
        <v>50.694099999999999</v>
      </c>
      <c r="C1253" s="37">
        <v>50.694099999999999</v>
      </c>
      <c r="D1253" s="37">
        <v>50.694099999999999</v>
      </c>
      <c r="E1253" s="37">
        <v>50.694099999999999</v>
      </c>
    </row>
    <row r="1254" spans="1:5" x14ac:dyDescent="0.3">
      <c r="A1254" s="2">
        <v>44737</v>
      </c>
      <c r="B1254" s="36">
        <v>50.778199999999998</v>
      </c>
      <c r="C1254" s="36">
        <v>50.778199999999998</v>
      </c>
      <c r="D1254" s="36">
        <v>50.778199999999998</v>
      </c>
      <c r="E1254" s="36">
        <v>50.778199999999998</v>
      </c>
    </row>
    <row r="1255" spans="1:5" x14ac:dyDescent="0.3">
      <c r="A1255" s="1">
        <v>44738</v>
      </c>
      <c r="B1255" s="37">
        <v>50.862499999999997</v>
      </c>
      <c r="C1255" s="37">
        <v>50.862499999999997</v>
      </c>
      <c r="D1255" s="37">
        <v>50.862499999999997</v>
      </c>
      <c r="E1255" s="37">
        <v>50.862499999999997</v>
      </c>
    </row>
    <row r="1256" spans="1:5" x14ac:dyDescent="0.3">
      <c r="A1256" s="2">
        <v>44739</v>
      </c>
      <c r="B1256" s="36">
        <v>50.946899999999999</v>
      </c>
      <c r="C1256" s="36">
        <v>50.946899999999999</v>
      </c>
      <c r="D1256" s="36">
        <v>50.946899999999999</v>
      </c>
      <c r="E1256" s="36">
        <v>50.946899999999999</v>
      </c>
    </row>
    <row r="1257" spans="1:5" x14ac:dyDescent="0.3">
      <c r="A1257" s="1">
        <v>44740</v>
      </c>
      <c r="B1257" s="37">
        <v>51.031399999999998</v>
      </c>
      <c r="C1257" s="37">
        <v>51.031399999999998</v>
      </c>
      <c r="D1257" s="37">
        <v>51.031399999999998</v>
      </c>
      <c r="E1257" s="37">
        <v>51.031399999999998</v>
      </c>
    </row>
    <row r="1258" spans="1:5" x14ac:dyDescent="0.3">
      <c r="A1258" s="2">
        <v>44741</v>
      </c>
      <c r="B1258" s="36">
        <v>51.116100000000003</v>
      </c>
      <c r="C1258" s="36">
        <v>51.116100000000003</v>
      </c>
      <c r="D1258" s="36">
        <v>51.116100000000003</v>
      </c>
      <c r="E1258" s="36">
        <v>51.116100000000003</v>
      </c>
    </row>
    <row r="1259" spans="1:5" x14ac:dyDescent="0.3">
      <c r="A1259" s="1">
        <v>44742</v>
      </c>
      <c r="B1259" s="37">
        <v>51.201000000000001</v>
      </c>
      <c r="C1259" s="37">
        <v>51.201000000000001</v>
      </c>
      <c r="D1259" s="37">
        <v>51.201000000000001</v>
      </c>
      <c r="E1259" s="37">
        <v>51.201000000000001</v>
      </c>
    </row>
    <row r="1260" spans="1:5" x14ac:dyDescent="0.3">
      <c r="A1260" s="2">
        <v>44743</v>
      </c>
      <c r="B1260" s="36">
        <v>51.285899999999998</v>
      </c>
      <c r="C1260" s="36">
        <v>51.285899999999998</v>
      </c>
      <c r="D1260" s="36">
        <v>51.285899999999998</v>
      </c>
      <c r="E1260" s="36">
        <v>51.285899999999998</v>
      </c>
    </row>
    <row r="1261" spans="1:5" x14ac:dyDescent="0.3">
      <c r="A1261" s="1">
        <v>44744</v>
      </c>
      <c r="B1261" s="37">
        <v>51.371000000000002</v>
      </c>
      <c r="C1261" s="37">
        <v>51.371000000000002</v>
      </c>
      <c r="D1261" s="37">
        <v>51.371000000000002</v>
      </c>
      <c r="E1261" s="37">
        <v>51.371000000000002</v>
      </c>
    </row>
    <row r="1262" spans="1:5" x14ac:dyDescent="0.3">
      <c r="A1262" s="2">
        <v>44745</v>
      </c>
      <c r="B1262" s="36">
        <v>51.456299999999999</v>
      </c>
      <c r="C1262" s="36">
        <v>51.456299999999999</v>
      </c>
      <c r="D1262" s="36">
        <v>51.456299999999999</v>
      </c>
      <c r="E1262" s="36">
        <v>51.456299999999999</v>
      </c>
    </row>
    <row r="1263" spans="1:5" x14ac:dyDescent="0.3">
      <c r="A1263" s="1">
        <v>44746</v>
      </c>
      <c r="B1263" s="37">
        <v>51.541699999999999</v>
      </c>
      <c r="C1263" s="37">
        <v>51.541699999999999</v>
      </c>
      <c r="D1263" s="37">
        <v>51.541699999999999</v>
      </c>
      <c r="E1263" s="37">
        <v>51.541699999999999</v>
      </c>
    </row>
    <row r="1264" spans="1:5" x14ac:dyDescent="0.3">
      <c r="A1264" s="2">
        <v>44747</v>
      </c>
      <c r="B1264" s="36">
        <v>51.627200000000002</v>
      </c>
      <c r="C1264" s="36">
        <v>51.627200000000002</v>
      </c>
      <c r="D1264" s="36">
        <v>51.627200000000002</v>
      </c>
      <c r="E1264" s="36">
        <v>51.627200000000002</v>
      </c>
    </row>
    <row r="1265" spans="1:5" x14ac:dyDescent="0.3">
      <c r="A1265" s="1">
        <v>44748</v>
      </c>
      <c r="B1265" s="37">
        <v>51.712899999999998</v>
      </c>
      <c r="C1265" s="37">
        <v>51.712899999999998</v>
      </c>
      <c r="D1265" s="37">
        <v>51.712899999999998</v>
      </c>
      <c r="E1265" s="37">
        <v>51.712899999999998</v>
      </c>
    </row>
    <row r="1266" spans="1:5" x14ac:dyDescent="0.3">
      <c r="A1266" s="2">
        <v>44749</v>
      </c>
      <c r="B1266" s="36">
        <v>51.798699999999997</v>
      </c>
      <c r="C1266" s="36">
        <v>51.798699999999997</v>
      </c>
      <c r="D1266" s="36">
        <v>51.798699999999997</v>
      </c>
      <c r="E1266" s="36">
        <v>51.798699999999997</v>
      </c>
    </row>
    <row r="1267" spans="1:5" x14ac:dyDescent="0.3">
      <c r="A1267" s="1">
        <v>44750</v>
      </c>
      <c r="B1267" s="37">
        <v>51.884599999999999</v>
      </c>
      <c r="C1267" s="37">
        <v>51.884599999999999</v>
      </c>
      <c r="D1267" s="37">
        <v>51.884599999999999</v>
      </c>
      <c r="E1267" s="37">
        <v>51.884599999999999</v>
      </c>
    </row>
    <row r="1268" spans="1:5" x14ac:dyDescent="0.3">
      <c r="A1268" s="2">
        <v>44751</v>
      </c>
      <c r="B1268" s="36">
        <v>51.970700000000001</v>
      </c>
      <c r="C1268" s="36">
        <v>51.970700000000001</v>
      </c>
      <c r="D1268" s="36">
        <v>51.970700000000001</v>
      </c>
      <c r="E1268" s="36">
        <v>51.970700000000001</v>
      </c>
    </row>
    <row r="1269" spans="1:5" x14ac:dyDescent="0.3">
      <c r="A1269" s="1">
        <v>44752</v>
      </c>
      <c r="B1269" s="37">
        <v>52.057000000000002</v>
      </c>
      <c r="C1269" s="37">
        <v>52.057000000000002</v>
      </c>
      <c r="D1269" s="37">
        <v>52.057000000000002</v>
      </c>
      <c r="E1269" s="37">
        <v>52.057000000000002</v>
      </c>
    </row>
    <row r="1270" spans="1:5" x14ac:dyDescent="0.3">
      <c r="A1270" s="2">
        <v>44753</v>
      </c>
      <c r="B1270" s="36">
        <v>52.1434</v>
      </c>
      <c r="C1270" s="36">
        <v>52.1434</v>
      </c>
      <c r="D1270" s="36">
        <v>52.1434</v>
      </c>
      <c r="E1270" s="36">
        <v>52.1434</v>
      </c>
    </row>
    <row r="1271" spans="1:5" x14ac:dyDescent="0.3">
      <c r="A1271" s="1">
        <v>44754</v>
      </c>
      <c r="B1271" s="37">
        <v>52.229900000000001</v>
      </c>
      <c r="C1271" s="37">
        <v>52.229900000000001</v>
      </c>
      <c r="D1271" s="37">
        <v>52.229900000000001</v>
      </c>
      <c r="E1271" s="37">
        <v>52.229900000000001</v>
      </c>
    </row>
    <row r="1272" spans="1:5" x14ac:dyDescent="0.3">
      <c r="A1272" s="2">
        <v>44755</v>
      </c>
      <c r="B1272" s="36">
        <v>52.316600000000001</v>
      </c>
      <c r="C1272" s="36">
        <v>52.316600000000001</v>
      </c>
      <c r="D1272" s="36">
        <v>52.316600000000001</v>
      </c>
      <c r="E1272" s="36">
        <v>52.316600000000001</v>
      </c>
    </row>
    <row r="1273" spans="1:5" x14ac:dyDescent="0.3">
      <c r="A1273" s="1">
        <v>44756</v>
      </c>
      <c r="B1273" s="37">
        <v>52.403399999999998</v>
      </c>
      <c r="C1273" s="37">
        <v>52.403399999999998</v>
      </c>
      <c r="D1273" s="37">
        <v>52.403399999999998</v>
      </c>
      <c r="E1273" s="37">
        <v>52.403399999999998</v>
      </c>
    </row>
    <row r="1274" spans="1:5" x14ac:dyDescent="0.3">
      <c r="A1274" s="2">
        <v>44757</v>
      </c>
      <c r="B1274" s="36">
        <v>52.490299999999998</v>
      </c>
      <c r="C1274" s="36">
        <v>52.490299999999998</v>
      </c>
      <c r="D1274" s="36">
        <v>52.490299999999998</v>
      </c>
      <c r="E1274" s="36">
        <v>52.490299999999998</v>
      </c>
    </row>
    <row r="1275" spans="1:5" x14ac:dyDescent="0.3">
      <c r="A1275" s="1">
        <v>44758</v>
      </c>
      <c r="B1275" s="37">
        <v>52.5779</v>
      </c>
      <c r="C1275" s="37">
        <v>52.5779</v>
      </c>
      <c r="D1275" s="37">
        <v>52.5779</v>
      </c>
      <c r="E1275" s="37">
        <v>52.5779</v>
      </c>
    </row>
    <row r="1276" spans="1:5" x14ac:dyDescent="0.3">
      <c r="A1276" s="2">
        <v>44759</v>
      </c>
      <c r="B1276" s="36">
        <v>52.665500000000002</v>
      </c>
      <c r="C1276" s="36">
        <v>52.665500000000002</v>
      </c>
      <c r="D1276" s="36">
        <v>52.665500000000002</v>
      </c>
      <c r="E1276" s="36">
        <v>52.665500000000002</v>
      </c>
    </row>
    <row r="1277" spans="1:5" x14ac:dyDescent="0.3">
      <c r="A1277" s="1">
        <v>44760</v>
      </c>
      <c r="B1277" s="37">
        <v>52.753300000000003</v>
      </c>
      <c r="C1277" s="37">
        <v>52.753300000000003</v>
      </c>
      <c r="D1277" s="37">
        <v>52.753300000000003</v>
      </c>
      <c r="E1277" s="37">
        <v>52.753300000000003</v>
      </c>
    </row>
    <row r="1278" spans="1:5" x14ac:dyDescent="0.3">
      <c r="A1278" s="2">
        <v>44761</v>
      </c>
      <c r="B1278" s="36">
        <v>52.841299999999997</v>
      </c>
      <c r="C1278" s="36">
        <v>52.841299999999997</v>
      </c>
      <c r="D1278" s="36">
        <v>52.841299999999997</v>
      </c>
      <c r="E1278" s="36">
        <v>52.841299999999997</v>
      </c>
    </row>
    <row r="1279" spans="1:5" x14ac:dyDescent="0.3">
      <c r="A1279" s="1">
        <v>44762</v>
      </c>
      <c r="B1279" s="37">
        <v>52.929400000000001</v>
      </c>
      <c r="C1279" s="37">
        <v>52.929400000000001</v>
      </c>
      <c r="D1279" s="37">
        <v>52.929400000000001</v>
      </c>
      <c r="E1279" s="37">
        <v>52.929400000000001</v>
      </c>
    </row>
    <row r="1280" spans="1:5" x14ac:dyDescent="0.3">
      <c r="A1280" s="2">
        <v>44763</v>
      </c>
      <c r="B1280" s="36">
        <v>53.017600000000002</v>
      </c>
      <c r="C1280" s="36">
        <v>53.017600000000002</v>
      </c>
      <c r="D1280" s="36">
        <v>53.017600000000002</v>
      </c>
      <c r="E1280" s="36">
        <v>53.017600000000002</v>
      </c>
    </row>
    <row r="1281" spans="1:5" x14ac:dyDescent="0.3">
      <c r="A1281" s="1">
        <v>44764</v>
      </c>
      <c r="B1281" s="37">
        <v>53.106000000000002</v>
      </c>
      <c r="C1281" s="37">
        <v>53.106000000000002</v>
      </c>
      <c r="D1281" s="37">
        <v>53.106000000000002</v>
      </c>
      <c r="E1281" s="37">
        <v>53.106000000000002</v>
      </c>
    </row>
    <row r="1282" spans="1:5" x14ac:dyDescent="0.3">
      <c r="A1282" s="2">
        <v>44765</v>
      </c>
      <c r="B1282" s="36">
        <v>53.194600000000001</v>
      </c>
      <c r="C1282" s="36">
        <v>53.194600000000001</v>
      </c>
      <c r="D1282" s="36">
        <v>53.194600000000001</v>
      </c>
      <c r="E1282" s="36">
        <v>53.194600000000001</v>
      </c>
    </row>
    <row r="1283" spans="1:5" x14ac:dyDescent="0.3">
      <c r="A1283" s="1">
        <v>44766</v>
      </c>
      <c r="B1283" s="37">
        <v>53.283299999999997</v>
      </c>
      <c r="C1283" s="37">
        <v>53.283299999999997</v>
      </c>
      <c r="D1283" s="37">
        <v>53.283299999999997</v>
      </c>
      <c r="E1283" s="37">
        <v>53.283299999999997</v>
      </c>
    </row>
    <row r="1284" spans="1:5" x14ac:dyDescent="0.3">
      <c r="A1284" s="2">
        <v>44767</v>
      </c>
      <c r="B1284" s="36">
        <v>53.372100000000003</v>
      </c>
      <c r="C1284" s="36">
        <v>53.372100000000003</v>
      </c>
      <c r="D1284" s="36">
        <v>53.372100000000003</v>
      </c>
      <c r="E1284" s="36">
        <v>53.372100000000003</v>
      </c>
    </row>
    <row r="1285" spans="1:5" x14ac:dyDescent="0.3">
      <c r="A1285" s="1">
        <v>44768</v>
      </c>
      <c r="B1285" s="37">
        <v>53.461100000000002</v>
      </c>
      <c r="C1285" s="37">
        <v>53.461100000000002</v>
      </c>
      <c r="D1285" s="37">
        <v>53.461100000000002</v>
      </c>
      <c r="E1285" s="37">
        <v>53.461100000000002</v>
      </c>
    </row>
    <row r="1286" spans="1:5" x14ac:dyDescent="0.3">
      <c r="A1286" s="2">
        <v>44769</v>
      </c>
      <c r="B1286" s="36">
        <v>53.550199999999997</v>
      </c>
      <c r="C1286" s="36">
        <v>53.550199999999997</v>
      </c>
      <c r="D1286" s="36">
        <v>53.550199999999997</v>
      </c>
      <c r="E1286" s="36">
        <v>53.550199999999997</v>
      </c>
    </row>
    <row r="1287" spans="1:5" x14ac:dyDescent="0.3">
      <c r="A1287" s="1">
        <v>44770</v>
      </c>
      <c r="B1287" s="37">
        <v>53.639499999999998</v>
      </c>
      <c r="C1287" s="37">
        <v>53.639499999999998</v>
      </c>
      <c r="D1287" s="37">
        <v>53.639499999999998</v>
      </c>
      <c r="E1287" s="37">
        <v>53.639499999999998</v>
      </c>
    </row>
    <row r="1288" spans="1:5" x14ac:dyDescent="0.3">
      <c r="A1288" s="2">
        <v>44771</v>
      </c>
      <c r="B1288" s="36">
        <v>53.728999999999999</v>
      </c>
      <c r="C1288" s="36">
        <v>53.728999999999999</v>
      </c>
      <c r="D1288" s="36">
        <v>53.728999999999999</v>
      </c>
      <c r="E1288" s="36">
        <v>53.728999999999999</v>
      </c>
    </row>
    <row r="1289" spans="1:5" x14ac:dyDescent="0.3">
      <c r="A1289" s="1">
        <v>44772</v>
      </c>
      <c r="B1289" s="37">
        <v>53.8185</v>
      </c>
      <c r="C1289" s="37">
        <v>53.8185</v>
      </c>
      <c r="D1289" s="37">
        <v>53.8185</v>
      </c>
      <c r="E1289" s="37">
        <v>53.8185</v>
      </c>
    </row>
    <row r="1290" spans="1:5" x14ac:dyDescent="0.3">
      <c r="A1290" s="2">
        <v>44773</v>
      </c>
      <c r="B1290" s="36">
        <v>53.908299999999997</v>
      </c>
      <c r="C1290" s="36">
        <v>53.908299999999997</v>
      </c>
      <c r="D1290" s="36">
        <v>53.908299999999997</v>
      </c>
      <c r="E1290" s="36">
        <v>53.908299999999997</v>
      </c>
    </row>
    <row r="1291" spans="1:5" x14ac:dyDescent="0.3">
      <c r="A1291" s="1">
        <v>44774</v>
      </c>
      <c r="B1291" s="37">
        <v>53.998100000000001</v>
      </c>
      <c r="C1291" s="37">
        <v>53.998100000000001</v>
      </c>
      <c r="D1291" s="37">
        <v>53.998100000000001</v>
      </c>
      <c r="E1291" s="37">
        <v>53.998100000000001</v>
      </c>
    </row>
    <row r="1292" spans="1:5" x14ac:dyDescent="0.3">
      <c r="A1292" s="2">
        <v>44775</v>
      </c>
      <c r="B1292" s="36">
        <v>54.088200000000001</v>
      </c>
      <c r="C1292" s="36">
        <v>54.088200000000001</v>
      </c>
      <c r="D1292" s="36">
        <v>54.088200000000001</v>
      </c>
      <c r="E1292" s="36">
        <v>54.088200000000001</v>
      </c>
    </row>
    <row r="1293" spans="1:5" x14ac:dyDescent="0.3">
      <c r="A1293" s="1">
        <v>44776</v>
      </c>
      <c r="B1293" s="37">
        <v>54.178400000000003</v>
      </c>
      <c r="C1293" s="37">
        <v>54.178400000000003</v>
      </c>
      <c r="D1293" s="37">
        <v>54.178400000000003</v>
      </c>
      <c r="E1293" s="37">
        <v>54.178400000000003</v>
      </c>
    </row>
    <row r="1294" spans="1:5" x14ac:dyDescent="0.3">
      <c r="A1294" s="2">
        <v>44777</v>
      </c>
      <c r="B1294" s="36">
        <v>54.268700000000003</v>
      </c>
      <c r="C1294" s="36">
        <v>54.268700000000003</v>
      </c>
      <c r="D1294" s="36">
        <v>54.268700000000003</v>
      </c>
      <c r="E1294" s="36">
        <v>54.268700000000003</v>
      </c>
    </row>
    <row r="1295" spans="1:5" x14ac:dyDescent="0.3">
      <c r="A1295" s="1">
        <v>44778</v>
      </c>
      <c r="B1295" s="37">
        <v>54.359200000000001</v>
      </c>
      <c r="C1295" s="37">
        <v>54.359200000000001</v>
      </c>
      <c r="D1295" s="37">
        <v>54.359200000000001</v>
      </c>
      <c r="E1295" s="37">
        <v>54.359200000000001</v>
      </c>
    </row>
    <row r="1296" spans="1:5" x14ac:dyDescent="0.3">
      <c r="A1296" s="2">
        <v>44779</v>
      </c>
      <c r="B1296" s="36">
        <v>54.449800000000003</v>
      </c>
      <c r="C1296" s="36">
        <v>54.449800000000003</v>
      </c>
      <c r="D1296" s="36">
        <v>54.449800000000003</v>
      </c>
      <c r="E1296" s="36">
        <v>54.449800000000003</v>
      </c>
    </row>
    <row r="1297" spans="1:5" x14ac:dyDescent="0.3">
      <c r="A1297" s="1">
        <v>44780</v>
      </c>
      <c r="B1297" s="37">
        <v>54.540599999999998</v>
      </c>
      <c r="C1297" s="37">
        <v>54.540599999999998</v>
      </c>
      <c r="D1297" s="37">
        <v>54.540599999999998</v>
      </c>
      <c r="E1297" s="37">
        <v>54.540599999999998</v>
      </c>
    </row>
    <row r="1298" spans="1:5" x14ac:dyDescent="0.3">
      <c r="A1298" s="2">
        <v>44781</v>
      </c>
      <c r="B1298" s="36">
        <v>54.631500000000003</v>
      </c>
      <c r="C1298" s="36">
        <v>54.631500000000003</v>
      </c>
      <c r="D1298" s="36">
        <v>54.631500000000003</v>
      </c>
      <c r="E1298" s="36">
        <v>54.631500000000003</v>
      </c>
    </row>
    <row r="1299" spans="1:5" x14ac:dyDescent="0.3">
      <c r="A1299" s="1">
        <v>44782</v>
      </c>
      <c r="B1299" s="37">
        <v>54.7226</v>
      </c>
      <c r="C1299" s="37">
        <v>54.7226</v>
      </c>
      <c r="D1299" s="37">
        <v>54.7226</v>
      </c>
      <c r="E1299" s="37">
        <v>54.7226</v>
      </c>
    </row>
    <row r="1300" spans="1:5" x14ac:dyDescent="0.3">
      <c r="A1300" s="2">
        <v>44783</v>
      </c>
      <c r="B1300" s="36">
        <v>54.813899999999997</v>
      </c>
      <c r="C1300" s="36">
        <v>54.813899999999997</v>
      </c>
      <c r="D1300" s="36">
        <v>54.813899999999997</v>
      </c>
      <c r="E1300" s="36">
        <v>54.813899999999997</v>
      </c>
    </row>
    <row r="1301" spans="1:5" x14ac:dyDescent="0.3">
      <c r="A1301" s="1">
        <v>44784</v>
      </c>
      <c r="B1301" s="37">
        <v>54.905200000000001</v>
      </c>
      <c r="C1301" s="37">
        <v>54.905200000000001</v>
      </c>
      <c r="D1301" s="37">
        <v>54.905200000000001</v>
      </c>
      <c r="E1301" s="37">
        <v>54.905200000000001</v>
      </c>
    </row>
    <row r="1302" spans="1:5" x14ac:dyDescent="0.3">
      <c r="A1302" s="2">
        <v>44785</v>
      </c>
      <c r="B1302" s="36">
        <v>54.9968</v>
      </c>
      <c r="C1302" s="36">
        <v>54.9968</v>
      </c>
      <c r="D1302" s="36">
        <v>54.9968</v>
      </c>
      <c r="E1302" s="36">
        <v>54.9968</v>
      </c>
    </row>
    <row r="1303" spans="1:5" x14ac:dyDescent="0.3">
      <c r="A1303" s="1">
        <v>44786</v>
      </c>
      <c r="B1303" s="37">
        <v>55.088500000000003</v>
      </c>
      <c r="C1303" s="37">
        <v>55.088500000000003</v>
      </c>
      <c r="D1303" s="37">
        <v>55.088500000000003</v>
      </c>
      <c r="E1303" s="37">
        <v>55.088500000000003</v>
      </c>
    </row>
    <row r="1304" spans="1:5" x14ac:dyDescent="0.3">
      <c r="A1304" s="2">
        <v>44787</v>
      </c>
      <c r="B1304" s="36">
        <v>55.180300000000003</v>
      </c>
      <c r="C1304" s="36">
        <v>55.180300000000003</v>
      </c>
      <c r="D1304" s="36">
        <v>55.180300000000003</v>
      </c>
      <c r="E1304" s="36">
        <v>55.180300000000003</v>
      </c>
    </row>
    <row r="1305" spans="1:5" x14ac:dyDescent="0.3">
      <c r="A1305" s="1">
        <v>44788</v>
      </c>
      <c r="B1305" s="37">
        <v>55.272300000000001</v>
      </c>
      <c r="C1305" s="37">
        <v>55.272300000000001</v>
      </c>
      <c r="D1305" s="37">
        <v>55.272300000000001</v>
      </c>
      <c r="E1305" s="37">
        <v>55.272300000000001</v>
      </c>
    </row>
    <row r="1306" spans="1:5" x14ac:dyDescent="0.3">
      <c r="A1306" s="2">
        <v>44789</v>
      </c>
      <c r="B1306" s="36">
        <v>55.399799999999999</v>
      </c>
      <c r="C1306" s="36">
        <v>55.399799999999999</v>
      </c>
      <c r="D1306" s="36">
        <v>55.399799999999999</v>
      </c>
      <c r="E1306" s="36">
        <v>55.399799999999999</v>
      </c>
    </row>
    <row r="1307" spans="1:5" x14ac:dyDescent="0.3">
      <c r="A1307" s="1">
        <v>44790</v>
      </c>
      <c r="B1307" s="37">
        <v>55.527500000000003</v>
      </c>
      <c r="C1307" s="37">
        <v>55.527500000000003</v>
      </c>
      <c r="D1307" s="37">
        <v>55.527500000000003</v>
      </c>
      <c r="E1307" s="37">
        <v>55.527500000000003</v>
      </c>
    </row>
    <row r="1308" spans="1:5" x14ac:dyDescent="0.3">
      <c r="A1308" s="2">
        <v>44791</v>
      </c>
      <c r="B1308" s="36">
        <v>55.655500000000004</v>
      </c>
      <c r="C1308" s="36">
        <v>55.655500000000004</v>
      </c>
      <c r="D1308" s="36">
        <v>55.655500000000004</v>
      </c>
      <c r="E1308" s="36">
        <v>55.655500000000004</v>
      </c>
    </row>
    <row r="1309" spans="1:5" x14ac:dyDescent="0.3">
      <c r="A1309" s="1">
        <v>44792</v>
      </c>
      <c r="B1309" s="37">
        <v>55.783799999999999</v>
      </c>
      <c r="C1309" s="37">
        <v>55.783799999999999</v>
      </c>
      <c r="D1309" s="37">
        <v>55.783799999999999</v>
      </c>
      <c r="E1309" s="37">
        <v>55.783799999999999</v>
      </c>
    </row>
    <row r="1310" spans="1:5" x14ac:dyDescent="0.3">
      <c r="A1310" s="2">
        <v>44793</v>
      </c>
      <c r="B1310" s="36">
        <v>55.912399999999998</v>
      </c>
      <c r="C1310" s="36">
        <v>55.912399999999998</v>
      </c>
      <c r="D1310" s="36">
        <v>55.912399999999998</v>
      </c>
      <c r="E1310" s="36">
        <v>55.912399999999998</v>
      </c>
    </row>
    <row r="1311" spans="1:5" x14ac:dyDescent="0.3">
      <c r="A1311" s="1">
        <v>44794</v>
      </c>
      <c r="B1311" s="37">
        <v>56.041400000000003</v>
      </c>
      <c r="C1311" s="37">
        <v>56.041400000000003</v>
      </c>
      <c r="D1311" s="37">
        <v>56.041400000000003</v>
      </c>
      <c r="E1311" s="37">
        <v>56.041400000000003</v>
      </c>
    </row>
    <row r="1312" spans="1:5" x14ac:dyDescent="0.3">
      <c r="A1312" s="2">
        <v>44795</v>
      </c>
      <c r="B1312" s="36">
        <v>56.1706</v>
      </c>
      <c r="C1312" s="36">
        <v>56.1706</v>
      </c>
      <c r="D1312" s="36">
        <v>56.1706</v>
      </c>
      <c r="E1312" s="36">
        <v>56.1706</v>
      </c>
    </row>
    <row r="1313" spans="1:5" x14ac:dyDescent="0.3">
      <c r="A1313" s="1">
        <v>44796</v>
      </c>
      <c r="B1313" s="37">
        <v>56.3001</v>
      </c>
      <c r="C1313" s="37">
        <v>56.3001</v>
      </c>
      <c r="D1313" s="37">
        <v>56.3001</v>
      </c>
      <c r="E1313" s="37">
        <v>56.3001</v>
      </c>
    </row>
    <row r="1314" spans="1:5" x14ac:dyDescent="0.3">
      <c r="A1314" s="2">
        <v>44797</v>
      </c>
      <c r="B1314" s="36">
        <v>56.429900000000004</v>
      </c>
      <c r="C1314" s="36">
        <v>56.429900000000004</v>
      </c>
      <c r="D1314" s="36">
        <v>56.429900000000004</v>
      </c>
      <c r="E1314" s="36">
        <v>56.429900000000004</v>
      </c>
    </row>
    <row r="1315" spans="1:5" x14ac:dyDescent="0.3">
      <c r="A1315" s="1">
        <v>44798</v>
      </c>
      <c r="B1315" s="37">
        <v>56.56</v>
      </c>
      <c r="C1315" s="37">
        <v>56.56</v>
      </c>
      <c r="D1315" s="37">
        <v>56.56</v>
      </c>
      <c r="E1315" s="37">
        <v>56.56</v>
      </c>
    </row>
    <row r="1316" spans="1:5" x14ac:dyDescent="0.3">
      <c r="A1316" s="2">
        <v>44799</v>
      </c>
      <c r="B1316" s="36">
        <v>56.690399999999997</v>
      </c>
      <c r="C1316" s="36">
        <v>56.690399999999997</v>
      </c>
      <c r="D1316" s="36">
        <v>56.690399999999997</v>
      </c>
      <c r="E1316" s="36">
        <v>56.690399999999997</v>
      </c>
    </row>
    <row r="1317" spans="1:5" x14ac:dyDescent="0.3">
      <c r="A1317" s="1">
        <v>44800</v>
      </c>
      <c r="B1317" s="37">
        <v>56.821100000000001</v>
      </c>
      <c r="C1317" s="37">
        <v>56.821100000000001</v>
      </c>
      <c r="D1317" s="37">
        <v>56.821100000000001</v>
      </c>
      <c r="E1317" s="37">
        <v>56.821100000000001</v>
      </c>
    </row>
    <row r="1318" spans="1:5" x14ac:dyDescent="0.3">
      <c r="A1318" s="2">
        <v>44801</v>
      </c>
      <c r="B1318" s="36">
        <v>56.952100000000002</v>
      </c>
      <c r="C1318" s="36">
        <v>56.952100000000002</v>
      </c>
      <c r="D1318" s="36">
        <v>56.952100000000002</v>
      </c>
      <c r="E1318" s="36">
        <v>56.952100000000002</v>
      </c>
    </row>
    <row r="1319" spans="1:5" x14ac:dyDescent="0.3">
      <c r="A1319" s="1">
        <v>44802</v>
      </c>
      <c r="B1319" s="37">
        <v>57.083399999999997</v>
      </c>
      <c r="C1319" s="37">
        <v>57.083399999999997</v>
      </c>
      <c r="D1319" s="37">
        <v>57.083399999999997</v>
      </c>
      <c r="E1319" s="37">
        <v>57.083399999999997</v>
      </c>
    </row>
    <row r="1320" spans="1:5" x14ac:dyDescent="0.3">
      <c r="A1320" s="2">
        <v>44803</v>
      </c>
      <c r="B1320" s="36">
        <v>57.215000000000003</v>
      </c>
      <c r="C1320" s="36">
        <v>57.215000000000003</v>
      </c>
      <c r="D1320" s="36">
        <v>57.215000000000003</v>
      </c>
      <c r="E1320" s="36">
        <v>57.215000000000003</v>
      </c>
    </row>
    <row r="1321" spans="1:5" x14ac:dyDescent="0.3">
      <c r="A1321" s="1">
        <v>44804</v>
      </c>
      <c r="B1321" s="37">
        <v>57.346899999999998</v>
      </c>
      <c r="C1321" s="37">
        <v>57.346899999999998</v>
      </c>
      <c r="D1321" s="37">
        <v>57.346899999999998</v>
      </c>
      <c r="E1321" s="37">
        <v>57.346899999999998</v>
      </c>
    </row>
    <row r="1322" spans="1:5" x14ac:dyDescent="0.3">
      <c r="A1322" s="2">
        <v>44805</v>
      </c>
      <c r="B1322" s="36">
        <v>57.479100000000003</v>
      </c>
      <c r="C1322" s="36">
        <v>57.479100000000003</v>
      </c>
      <c r="D1322" s="36">
        <v>57.479100000000003</v>
      </c>
      <c r="E1322" s="36">
        <v>57.479100000000003</v>
      </c>
    </row>
    <row r="1323" spans="1:5" x14ac:dyDescent="0.3">
      <c r="A1323" s="1">
        <v>44806</v>
      </c>
      <c r="B1323" s="37">
        <v>57.611600000000003</v>
      </c>
      <c r="C1323" s="37">
        <v>57.611600000000003</v>
      </c>
      <c r="D1323" s="37">
        <v>57.611600000000003</v>
      </c>
      <c r="E1323" s="37">
        <v>57.611600000000003</v>
      </c>
    </row>
    <row r="1324" spans="1:5" x14ac:dyDescent="0.3">
      <c r="A1324" s="2">
        <v>44807</v>
      </c>
      <c r="B1324" s="36">
        <v>57.744500000000002</v>
      </c>
      <c r="C1324" s="36">
        <v>57.744500000000002</v>
      </c>
      <c r="D1324" s="36">
        <v>57.744500000000002</v>
      </c>
      <c r="E1324" s="36">
        <v>57.744500000000002</v>
      </c>
    </row>
    <row r="1325" spans="1:5" x14ac:dyDescent="0.3">
      <c r="A1325" s="1">
        <v>44808</v>
      </c>
      <c r="B1325" s="37">
        <v>57.877600000000001</v>
      </c>
      <c r="C1325" s="37">
        <v>57.877600000000001</v>
      </c>
      <c r="D1325" s="37">
        <v>57.877600000000001</v>
      </c>
      <c r="E1325" s="37">
        <v>57.877600000000001</v>
      </c>
    </row>
    <row r="1326" spans="1:5" x14ac:dyDescent="0.3">
      <c r="A1326" s="2">
        <v>44809</v>
      </c>
      <c r="B1326" s="36">
        <v>58.011000000000003</v>
      </c>
      <c r="C1326" s="36">
        <v>58.011000000000003</v>
      </c>
      <c r="D1326" s="36">
        <v>58.011000000000003</v>
      </c>
      <c r="E1326" s="36">
        <v>58.011000000000003</v>
      </c>
    </row>
    <row r="1327" spans="1:5" x14ac:dyDescent="0.3">
      <c r="A1327" s="1">
        <v>44810</v>
      </c>
      <c r="B1327" s="37">
        <v>58.144799999999996</v>
      </c>
      <c r="C1327" s="37">
        <v>58.144799999999996</v>
      </c>
      <c r="D1327" s="37">
        <v>58.144799999999996</v>
      </c>
      <c r="E1327" s="37">
        <v>58.144799999999996</v>
      </c>
    </row>
    <row r="1328" spans="1:5" x14ac:dyDescent="0.3">
      <c r="A1328" s="2">
        <v>44811</v>
      </c>
      <c r="B1328" s="36">
        <v>58.2789</v>
      </c>
      <c r="C1328" s="36">
        <v>58.2789</v>
      </c>
      <c r="D1328" s="36">
        <v>58.2789</v>
      </c>
      <c r="E1328" s="36">
        <v>58.2789</v>
      </c>
    </row>
    <row r="1329" spans="1:5" x14ac:dyDescent="0.3">
      <c r="A1329" s="1">
        <v>44812</v>
      </c>
      <c r="B1329" s="37">
        <v>58.413200000000003</v>
      </c>
      <c r="C1329" s="37">
        <v>58.413200000000003</v>
      </c>
      <c r="D1329" s="37">
        <v>58.413200000000003</v>
      </c>
      <c r="E1329" s="37">
        <v>58.413200000000003</v>
      </c>
    </row>
    <row r="1330" spans="1:5" x14ac:dyDescent="0.3">
      <c r="A1330" s="2">
        <v>44813</v>
      </c>
      <c r="B1330" s="36">
        <v>58.547899999999998</v>
      </c>
      <c r="C1330" s="36">
        <v>58.547899999999998</v>
      </c>
      <c r="D1330" s="36">
        <v>58.547899999999998</v>
      </c>
      <c r="E1330" s="36">
        <v>58.547899999999998</v>
      </c>
    </row>
    <row r="1331" spans="1:5" x14ac:dyDescent="0.3">
      <c r="A1331" s="1">
        <v>44814</v>
      </c>
      <c r="B1331" s="37">
        <v>58.682899999999997</v>
      </c>
      <c r="C1331" s="37">
        <v>58.682899999999997</v>
      </c>
      <c r="D1331" s="37">
        <v>58.682899999999997</v>
      </c>
      <c r="E1331" s="37">
        <v>58.682899999999997</v>
      </c>
    </row>
    <row r="1332" spans="1:5" x14ac:dyDescent="0.3">
      <c r="A1332" s="2">
        <v>44815</v>
      </c>
      <c r="B1332" s="36">
        <v>58.818199999999997</v>
      </c>
      <c r="C1332" s="36">
        <v>58.818199999999997</v>
      </c>
      <c r="D1332" s="36">
        <v>58.818199999999997</v>
      </c>
      <c r="E1332" s="36">
        <v>58.818199999999997</v>
      </c>
    </row>
    <row r="1333" spans="1:5" x14ac:dyDescent="0.3">
      <c r="A1333" s="1">
        <v>44816</v>
      </c>
      <c r="B1333" s="37">
        <v>58.953800000000001</v>
      </c>
      <c r="C1333" s="37">
        <v>58.953800000000001</v>
      </c>
      <c r="D1333" s="37">
        <v>58.953800000000001</v>
      </c>
      <c r="E1333" s="37">
        <v>58.953800000000001</v>
      </c>
    </row>
    <row r="1334" spans="1:5" x14ac:dyDescent="0.3">
      <c r="A1334" s="2">
        <v>44817</v>
      </c>
      <c r="B1334" s="36">
        <v>59.089700000000001</v>
      </c>
      <c r="C1334" s="36">
        <v>59.089700000000001</v>
      </c>
      <c r="D1334" s="36">
        <v>59.089700000000001</v>
      </c>
      <c r="E1334" s="36">
        <v>59.089700000000001</v>
      </c>
    </row>
    <row r="1335" spans="1:5" x14ac:dyDescent="0.3">
      <c r="A1335" s="1">
        <v>44818</v>
      </c>
      <c r="B1335" s="37">
        <v>59.225900000000003</v>
      </c>
      <c r="C1335" s="37">
        <v>59.225900000000003</v>
      </c>
      <c r="D1335" s="37">
        <v>59.225900000000003</v>
      </c>
      <c r="E1335" s="37">
        <v>59.225900000000003</v>
      </c>
    </row>
    <row r="1336" spans="1:5" x14ac:dyDescent="0.3">
      <c r="A1336" s="2">
        <v>44819</v>
      </c>
      <c r="B1336" s="36">
        <v>59.362499999999997</v>
      </c>
      <c r="C1336" s="36">
        <v>59.362499999999997</v>
      </c>
      <c r="D1336" s="36">
        <v>59.362499999999997</v>
      </c>
      <c r="E1336" s="36">
        <v>59.362499999999997</v>
      </c>
    </row>
    <row r="1337" spans="1:5" x14ac:dyDescent="0.3">
      <c r="A1337" s="1">
        <v>44820</v>
      </c>
      <c r="B1337" s="37">
        <v>59.496499999999997</v>
      </c>
      <c r="C1337" s="37">
        <v>59.496499999999997</v>
      </c>
      <c r="D1337" s="37">
        <v>59.496499999999997</v>
      </c>
      <c r="E1337" s="37">
        <v>59.496499999999997</v>
      </c>
    </row>
    <row r="1338" spans="1:5" x14ac:dyDescent="0.3">
      <c r="A1338" s="2">
        <v>44821</v>
      </c>
      <c r="B1338" s="36">
        <v>59.630899999999997</v>
      </c>
      <c r="C1338" s="36">
        <v>59.630899999999997</v>
      </c>
      <c r="D1338" s="36">
        <v>59.630899999999997</v>
      </c>
      <c r="E1338" s="36">
        <v>59.630899999999997</v>
      </c>
    </row>
    <row r="1339" spans="1:5" x14ac:dyDescent="0.3">
      <c r="A1339" s="1">
        <v>44822</v>
      </c>
      <c r="B1339" s="37">
        <v>59.765500000000003</v>
      </c>
      <c r="C1339" s="37">
        <v>59.765500000000003</v>
      </c>
      <c r="D1339" s="37">
        <v>59.765500000000003</v>
      </c>
      <c r="E1339" s="37">
        <v>59.765500000000003</v>
      </c>
    </row>
    <row r="1340" spans="1:5" x14ac:dyDescent="0.3">
      <c r="A1340" s="2">
        <v>44823</v>
      </c>
      <c r="B1340" s="36">
        <v>59.900399999999998</v>
      </c>
      <c r="C1340" s="36">
        <v>59.900399999999998</v>
      </c>
      <c r="D1340" s="36">
        <v>59.900399999999998</v>
      </c>
      <c r="E1340" s="36">
        <v>59.900399999999998</v>
      </c>
    </row>
    <row r="1341" spans="1:5" x14ac:dyDescent="0.3">
      <c r="A1341" s="1">
        <v>44824</v>
      </c>
      <c r="B1341" s="37">
        <v>60.035699999999999</v>
      </c>
      <c r="C1341" s="37">
        <v>60.035699999999999</v>
      </c>
      <c r="D1341" s="37">
        <v>60.035699999999999</v>
      </c>
      <c r="E1341" s="37">
        <v>60.035699999999999</v>
      </c>
    </row>
    <row r="1342" spans="1:5" x14ac:dyDescent="0.3">
      <c r="A1342" s="2">
        <v>44825</v>
      </c>
      <c r="B1342" s="36">
        <v>60.171199999999999</v>
      </c>
      <c r="C1342" s="36">
        <v>60.171199999999999</v>
      </c>
      <c r="D1342" s="36">
        <v>60.171199999999999</v>
      </c>
      <c r="E1342" s="36">
        <v>60.171199999999999</v>
      </c>
    </row>
    <row r="1343" spans="1:5" x14ac:dyDescent="0.3">
      <c r="A1343" s="1">
        <v>44826</v>
      </c>
      <c r="B1343" s="37">
        <v>60.307099999999998</v>
      </c>
      <c r="C1343" s="37">
        <v>60.307099999999998</v>
      </c>
      <c r="D1343" s="37">
        <v>60.307099999999998</v>
      </c>
      <c r="E1343" s="37">
        <v>60.307099999999998</v>
      </c>
    </row>
    <row r="1344" spans="1:5" x14ac:dyDescent="0.3">
      <c r="A1344" s="2">
        <v>44827</v>
      </c>
      <c r="B1344" s="36">
        <v>60.443199999999997</v>
      </c>
      <c r="C1344" s="36">
        <v>60.443199999999997</v>
      </c>
      <c r="D1344" s="36">
        <v>60.443199999999997</v>
      </c>
      <c r="E1344" s="36">
        <v>60.443199999999997</v>
      </c>
    </row>
    <row r="1345" spans="1:5" x14ac:dyDescent="0.3">
      <c r="A1345" s="1">
        <v>44828</v>
      </c>
      <c r="B1345" s="37">
        <v>60.579700000000003</v>
      </c>
      <c r="C1345" s="37">
        <v>60.579700000000003</v>
      </c>
      <c r="D1345" s="37">
        <v>60.579700000000003</v>
      </c>
      <c r="E1345" s="37">
        <v>60.579700000000003</v>
      </c>
    </row>
    <row r="1346" spans="1:5" x14ac:dyDescent="0.3">
      <c r="A1346" s="2">
        <v>44829</v>
      </c>
      <c r="B1346" s="36">
        <v>60.716500000000003</v>
      </c>
      <c r="C1346" s="36">
        <v>60.716500000000003</v>
      </c>
      <c r="D1346" s="36">
        <v>60.716500000000003</v>
      </c>
      <c r="E1346" s="36">
        <v>60.716500000000003</v>
      </c>
    </row>
    <row r="1347" spans="1:5" x14ac:dyDescent="0.3">
      <c r="A1347" s="1">
        <v>44830</v>
      </c>
      <c r="B1347" s="37">
        <v>60.8536</v>
      </c>
      <c r="C1347" s="37">
        <v>60.8536</v>
      </c>
      <c r="D1347" s="37">
        <v>60.8536</v>
      </c>
      <c r="E1347" s="37">
        <v>60.8536</v>
      </c>
    </row>
    <row r="1348" spans="1:5" x14ac:dyDescent="0.3">
      <c r="A1348" s="2">
        <v>44831</v>
      </c>
      <c r="B1348" s="36">
        <v>60.991</v>
      </c>
      <c r="C1348" s="36">
        <v>60.991</v>
      </c>
      <c r="D1348" s="36">
        <v>60.991</v>
      </c>
      <c r="E1348" s="36">
        <v>60.991</v>
      </c>
    </row>
    <row r="1349" spans="1:5" x14ac:dyDescent="0.3">
      <c r="A1349" s="1">
        <v>44832</v>
      </c>
      <c r="B1349" s="37">
        <v>61.128700000000002</v>
      </c>
      <c r="C1349" s="37">
        <v>61.128700000000002</v>
      </c>
      <c r="D1349" s="37">
        <v>61.128700000000002</v>
      </c>
      <c r="E1349" s="37">
        <v>61.128700000000002</v>
      </c>
    </row>
    <row r="1350" spans="1:5" x14ac:dyDescent="0.3">
      <c r="A1350" s="2">
        <v>44833</v>
      </c>
      <c r="B1350" s="36">
        <v>61.2667</v>
      </c>
      <c r="C1350" s="36">
        <v>61.2667</v>
      </c>
      <c r="D1350" s="36">
        <v>61.2667</v>
      </c>
      <c r="E1350" s="36">
        <v>61.2667</v>
      </c>
    </row>
    <row r="1351" spans="1:5" x14ac:dyDescent="0.3">
      <c r="A1351" s="1">
        <v>44834</v>
      </c>
      <c r="B1351" s="37">
        <v>61.405000000000001</v>
      </c>
      <c r="C1351" s="37">
        <v>61.405000000000001</v>
      </c>
      <c r="D1351" s="37">
        <v>61.405000000000001</v>
      </c>
      <c r="E1351" s="37">
        <v>61.405000000000001</v>
      </c>
    </row>
    <row r="1352" spans="1:5" x14ac:dyDescent="0.3">
      <c r="A1352" s="2">
        <v>44835</v>
      </c>
      <c r="B1352" s="36">
        <v>61.543700000000001</v>
      </c>
      <c r="C1352" s="36">
        <v>61.543700000000001</v>
      </c>
      <c r="D1352" s="36">
        <v>61.543700000000001</v>
      </c>
      <c r="E1352" s="36">
        <v>61.543700000000001</v>
      </c>
    </row>
    <row r="1353" spans="1:5" x14ac:dyDescent="0.3">
      <c r="A1353" s="1">
        <v>44836</v>
      </c>
      <c r="B1353" s="37">
        <v>61.682600000000001</v>
      </c>
      <c r="C1353" s="37">
        <v>61.682600000000001</v>
      </c>
      <c r="D1353" s="37">
        <v>61.682600000000001</v>
      </c>
      <c r="E1353" s="37">
        <v>61.682600000000001</v>
      </c>
    </row>
    <row r="1354" spans="1:5" x14ac:dyDescent="0.3">
      <c r="A1354" s="2">
        <v>44837</v>
      </c>
      <c r="B1354" s="36">
        <v>61.821899999999999</v>
      </c>
      <c r="C1354" s="36">
        <v>61.821899999999999</v>
      </c>
      <c r="D1354" s="36">
        <v>61.821899999999999</v>
      </c>
      <c r="E1354" s="36">
        <v>61.821899999999999</v>
      </c>
    </row>
    <row r="1355" spans="1:5" x14ac:dyDescent="0.3">
      <c r="A1355" s="1">
        <v>44838</v>
      </c>
      <c r="B1355" s="37">
        <v>61.961500000000001</v>
      </c>
      <c r="C1355" s="37">
        <v>61.961500000000001</v>
      </c>
      <c r="D1355" s="37">
        <v>61.961500000000001</v>
      </c>
      <c r="E1355" s="37">
        <v>61.961500000000001</v>
      </c>
    </row>
    <row r="1356" spans="1:5" x14ac:dyDescent="0.3">
      <c r="A1356" s="2">
        <v>44839</v>
      </c>
      <c r="B1356" s="36">
        <v>62.101399999999998</v>
      </c>
      <c r="C1356" s="36">
        <v>62.101399999999998</v>
      </c>
      <c r="D1356" s="36">
        <v>62.101399999999998</v>
      </c>
      <c r="E1356" s="36">
        <v>62.101399999999998</v>
      </c>
    </row>
    <row r="1357" spans="1:5" x14ac:dyDescent="0.3">
      <c r="A1357" s="1">
        <v>44840</v>
      </c>
      <c r="B1357" s="37">
        <v>62.241599999999998</v>
      </c>
      <c r="C1357" s="37">
        <v>62.241599999999998</v>
      </c>
      <c r="D1357" s="37">
        <v>62.241599999999998</v>
      </c>
      <c r="E1357" s="37">
        <v>62.241599999999998</v>
      </c>
    </row>
    <row r="1358" spans="1:5" x14ac:dyDescent="0.3">
      <c r="A1358" s="2">
        <v>44841</v>
      </c>
      <c r="B1358" s="36">
        <v>62.382100000000001</v>
      </c>
      <c r="C1358" s="36">
        <v>62.382100000000001</v>
      </c>
      <c r="D1358" s="36">
        <v>62.382100000000001</v>
      </c>
      <c r="E1358" s="36">
        <v>62.382100000000001</v>
      </c>
    </row>
    <row r="1359" spans="1:5" x14ac:dyDescent="0.3">
      <c r="A1359" s="1">
        <v>44842</v>
      </c>
      <c r="B1359" s="37">
        <v>62.523000000000003</v>
      </c>
      <c r="C1359" s="37">
        <v>62.523000000000003</v>
      </c>
      <c r="D1359" s="37">
        <v>62.523000000000003</v>
      </c>
      <c r="E1359" s="37">
        <v>62.523000000000003</v>
      </c>
    </row>
    <row r="1360" spans="1:5" x14ac:dyDescent="0.3">
      <c r="A1360" s="2">
        <v>44843</v>
      </c>
      <c r="B1360" s="36">
        <v>62.664099999999998</v>
      </c>
      <c r="C1360" s="36">
        <v>62.664099999999998</v>
      </c>
      <c r="D1360" s="36">
        <v>62.664099999999998</v>
      </c>
      <c r="E1360" s="36">
        <v>62.664099999999998</v>
      </c>
    </row>
    <row r="1361" spans="1:5" x14ac:dyDescent="0.3">
      <c r="A1361" s="1">
        <v>44844</v>
      </c>
      <c r="B1361" s="37">
        <v>62.805599999999998</v>
      </c>
      <c r="C1361" s="37">
        <v>62.805599999999998</v>
      </c>
      <c r="D1361" s="37">
        <v>62.805599999999998</v>
      </c>
      <c r="E1361" s="37">
        <v>62.805599999999998</v>
      </c>
    </row>
    <row r="1362" spans="1:5" x14ac:dyDescent="0.3">
      <c r="A1362" s="2">
        <v>44845</v>
      </c>
      <c r="B1362" s="36">
        <v>62.947400000000002</v>
      </c>
      <c r="C1362" s="36">
        <v>62.947400000000002</v>
      </c>
      <c r="D1362" s="36">
        <v>62.947400000000002</v>
      </c>
      <c r="E1362" s="36">
        <v>62.947400000000002</v>
      </c>
    </row>
    <row r="1363" spans="1:5" x14ac:dyDescent="0.3">
      <c r="A1363" s="1">
        <v>44846</v>
      </c>
      <c r="B1363" s="37">
        <v>63.089599999999997</v>
      </c>
      <c r="C1363" s="37">
        <v>63.089599999999997</v>
      </c>
      <c r="D1363" s="37">
        <v>63.089599999999997</v>
      </c>
      <c r="E1363" s="37">
        <v>63.089599999999997</v>
      </c>
    </row>
    <row r="1364" spans="1:5" x14ac:dyDescent="0.3">
      <c r="A1364" s="2">
        <v>44847</v>
      </c>
      <c r="B1364" s="36">
        <v>63.231999999999999</v>
      </c>
      <c r="C1364" s="36">
        <v>63.231999999999999</v>
      </c>
      <c r="D1364" s="36">
        <v>63.231999999999999</v>
      </c>
      <c r="E1364" s="36">
        <v>63.231999999999999</v>
      </c>
    </row>
    <row r="1365" spans="1:5" x14ac:dyDescent="0.3">
      <c r="A1365" s="1">
        <v>44848</v>
      </c>
      <c r="B1365" s="37">
        <v>63.3748</v>
      </c>
      <c r="C1365" s="37">
        <v>63.3748</v>
      </c>
      <c r="D1365" s="37">
        <v>63.3748</v>
      </c>
      <c r="E1365" s="37">
        <v>63.3748</v>
      </c>
    </row>
    <row r="1366" spans="1:5" x14ac:dyDescent="0.3">
      <c r="A1366" s="2">
        <v>44849</v>
      </c>
      <c r="B1366" s="36">
        <v>63.517899999999997</v>
      </c>
      <c r="C1366" s="36">
        <v>63.517899999999997</v>
      </c>
      <c r="D1366" s="36">
        <v>63.517899999999997</v>
      </c>
      <c r="E1366" s="36">
        <v>63.517899999999997</v>
      </c>
    </row>
    <row r="1367" spans="1:5" x14ac:dyDescent="0.3">
      <c r="A1367" s="1">
        <v>44850</v>
      </c>
      <c r="B1367" s="37">
        <v>63.641199999999998</v>
      </c>
      <c r="C1367" s="37">
        <v>63.641199999999998</v>
      </c>
      <c r="D1367" s="37">
        <v>63.641199999999998</v>
      </c>
      <c r="E1367" s="37">
        <v>63.641199999999998</v>
      </c>
    </row>
    <row r="1368" spans="1:5" x14ac:dyDescent="0.3">
      <c r="A1368" s="2">
        <v>44851</v>
      </c>
      <c r="B1368" s="36">
        <v>63.764800000000001</v>
      </c>
      <c r="C1368" s="36">
        <v>63.764800000000001</v>
      </c>
      <c r="D1368" s="36">
        <v>63.764800000000001</v>
      </c>
      <c r="E1368" s="36">
        <v>63.764800000000001</v>
      </c>
    </row>
    <row r="1369" spans="1:5" x14ac:dyDescent="0.3">
      <c r="A1369" s="1">
        <v>44852</v>
      </c>
      <c r="B1369" s="37">
        <v>63.8887</v>
      </c>
      <c r="C1369" s="37">
        <v>63.8887</v>
      </c>
      <c r="D1369" s="37">
        <v>63.8887</v>
      </c>
      <c r="E1369" s="37">
        <v>63.8887</v>
      </c>
    </row>
    <row r="1370" spans="1:5" x14ac:dyDescent="0.3">
      <c r="A1370" s="2">
        <v>44853</v>
      </c>
      <c r="B1370" s="36">
        <v>64.012799999999999</v>
      </c>
      <c r="C1370" s="36">
        <v>64.012799999999999</v>
      </c>
      <c r="D1370" s="36">
        <v>64.012799999999999</v>
      </c>
      <c r="E1370" s="36">
        <v>64.012799999999999</v>
      </c>
    </row>
    <row r="1371" spans="1:5" x14ac:dyDescent="0.3">
      <c r="A1371" s="1">
        <v>44854</v>
      </c>
      <c r="B1371" s="37">
        <v>64.137100000000004</v>
      </c>
      <c r="C1371" s="37">
        <v>64.137100000000004</v>
      </c>
      <c r="D1371" s="37">
        <v>64.137100000000004</v>
      </c>
      <c r="E1371" s="37">
        <v>64.137100000000004</v>
      </c>
    </row>
    <row r="1372" spans="1:5" x14ac:dyDescent="0.3">
      <c r="A1372" s="2">
        <v>44855</v>
      </c>
      <c r="B1372" s="36">
        <v>64.261700000000005</v>
      </c>
      <c r="C1372" s="36">
        <v>64.261700000000005</v>
      </c>
      <c r="D1372" s="36">
        <v>64.261700000000005</v>
      </c>
      <c r="E1372" s="36">
        <v>64.261700000000005</v>
      </c>
    </row>
    <row r="1373" spans="1:5" x14ac:dyDescent="0.3">
      <c r="A1373" s="1">
        <v>44856</v>
      </c>
      <c r="B1373" s="37">
        <v>64.386499999999998</v>
      </c>
      <c r="C1373" s="37">
        <v>64.386499999999998</v>
      </c>
      <c r="D1373" s="37">
        <v>64.386499999999998</v>
      </c>
      <c r="E1373" s="37">
        <v>64.386499999999998</v>
      </c>
    </row>
    <row r="1374" spans="1:5" x14ac:dyDescent="0.3">
      <c r="A1374" s="2">
        <v>44857</v>
      </c>
      <c r="B1374" s="36">
        <v>64.511600000000001</v>
      </c>
      <c r="C1374" s="36">
        <v>64.511600000000001</v>
      </c>
      <c r="D1374" s="36">
        <v>64.511600000000001</v>
      </c>
      <c r="E1374" s="36">
        <v>64.511600000000001</v>
      </c>
    </row>
    <row r="1375" spans="1:5" x14ac:dyDescent="0.3">
      <c r="A1375" s="1">
        <v>44858</v>
      </c>
      <c r="B1375" s="37">
        <v>64.636899999999997</v>
      </c>
      <c r="C1375" s="37">
        <v>64.636899999999997</v>
      </c>
      <c r="D1375" s="37">
        <v>64.636899999999997</v>
      </c>
      <c r="E1375" s="37">
        <v>64.636899999999997</v>
      </c>
    </row>
    <row r="1376" spans="1:5" x14ac:dyDescent="0.3">
      <c r="A1376" s="2">
        <v>44859</v>
      </c>
      <c r="B1376" s="36">
        <v>64.7624</v>
      </c>
      <c r="C1376" s="36">
        <v>64.7624</v>
      </c>
      <c r="D1376" s="36">
        <v>64.7624</v>
      </c>
      <c r="E1376" s="36">
        <v>64.7624</v>
      </c>
    </row>
    <row r="1377" spans="1:5" x14ac:dyDescent="0.3">
      <c r="A1377" s="1">
        <v>44860</v>
      </c>
      <c r="B1377" s="37">
        <v>64.888199999999998</v>
      </c>
      <c r="C1377" s="37">
        <v>64.888199999999998</v>
      </c>
      <c r="D1377" s="37">
        <v>64.888199999999998</v>
      </c>
      <c r="E1377" s="37">
        <v>64.888199999999998</v>
      </c>
    </row>
    <row r="1378" spans="1:5" x14ac:dyDescent="0.3">
      <c r="A1378" s="2">
        <v>44861</v>
      </c>
      <c r="B1378" s="36">
        <v>65.014300000000006</v>
      </c>
      <c r="C1378" s="36">
        <v>65.014300000000006</v>
      </c>
      <c r="D1378" s="36">
        <v>65.014300000000006</v>
      </c>
      <c r="E1378" s="36">
        <v>65.014300000000006</v>
      </c>
    </row>
    <row r="1379" spans="1:5" x14ac:dyDescent="0.3">
      <c r="A1379" s="1">
        <v>44862</v>
      </c>
      <c r="B1379" s="37">
        <v>65.140500000000003</v>
      </c>
      <c r="C1379" s="37">
        <v>65.140500000000003</v>
      </c>
      <c r="D1379" s="37">
        <v>65.140500000000003</v>
      </c>
      <c r="E1379" s="37">
        <v>65.140500000000003</v>
      </c>
    </row>
    <row r="1380" spans="1:5" x14ac:dyDescent="0.3">
      <c r="A1380" s="2">
        <v>44863</v>
      </c>
      <c r="B1380" s="36">
        <v>65.267099999999999</v>
      </c>
      <c r="C1380" s="36">
        <v>65.267099999999999</v>
      </c>
      <c r="D1380" s="36">
        <v>65.267099999999999</v>
      </c>
      <c r="E1380" s="36">
        <v>65.267099999999999</v>
      </c>
    </row>
    <row r="1381" spans="1:5" x14ac:dyDescent="0.3">
      <c r="A1381" s="1">
        <v>44864</v>
      </c>
      <c r="B1381" s="37">
        <v>65.393799999999999</v>
      </c>
      <c r="C1381" s="37">
        <v>65.393799999999999</v>
      </c>
      <c r="D1381" s="37">
        <v>65.393799999999999</v>
      </c>
      <c r="E1381" s="37">
        <v>65.393799999999999</v>
      </c>
    </row>
    <row r="1382" spans="1:5" x14ac:dyDescent="0.3">
      <c r="A1382" s="2">
        <v>44865</v>
      </c>
      <c r="B1382" s="36">
        <v>65.520799999999994</v>
      </c>
      <c r="C1382" s="36">
        <v>65.520799999999994</v>
      </c>
      <c r="D1382" s="36">
        <v>65.520799999999994</v>
      </c>
      <c r="E1382" s="36">
        <v>65.520799999999994</v>
      </c>
    </row>
    <row r="1383" spans="1:5" x14ac:dyDescent="0.3">
      <c r="A1383" s="1">
        <v>44866</v>
      </c>
      <c r="B1383" s="37">
        <v>65.648099999999999</v>
      </c>
      <c r="C1383" s="37">
        <v>65.648099999999999</v>
      </c>
      <c r="D1383" s="37">
        <v>65.648099999999999</v>
      </c>
      <c r="E1383" s="37">
        <v>65.648099999999999</v>
      </c>
    </row>
    <row r="1384" spans="1:5" x14ac:dyDescent="0.3">
      <c r="A1384" s="2">
        <v>44867</v>
      </c>
      <c r="B1384" s="36">
        <v>65.775599999999997</v>
      </c>
      <c r="C1384" s="36">
        <v>65.775599999999997</v>
      </c>
      <c r="D1384" s="36">
        <v>65.775599999999997</v>
      </c>
      <c r="E1384" s="36">
        <v>65.775599999999997</v>
      </c>
    </row>
    <row r="1385" spans="1:5" x14ac:dyDescent="0.3">
      <c r="A1385" s="1">
        <v>44868</v>
      </c>
      <c r="B1385" s="37">
        <v>65.903400000000005</v>
      </c>
      <c r="C1385" s="37">
        <v>65.903400000000005</v>
      </c>
      <c r="D1385" s="37">
        <v>65.903400000000005</v>
      </c>
      <c r="E1385" s="37">
        <v>65.903400000000005</v>
      </c>
    </row>
    <row r="1386" spans="1:5" x14ac:dyDescent="0.3">
      <c r="A1386" s="2">
        <v>44869</v>
      </c>
      <c r="B1386" s="36">
        <v>66.031400000000005</v>
      </c>
      <c r="C1386" s="36">
        <v>66.031400000000005</v>
      </c>
      <c r="D1386" s="36">
        <v>66.031400000000005</v>
      </c>
      <c r="E1386" s="36">
        <v>66.031400000000005</v>
      </c>
    </row>
    <row r="1387" spans="1:5" x14ac:dyDescent="0.3">
      <c r="A1387" s="1">
        <v>44870</v>
      </c>
      <c r="B1387" s="37">
        <v>66.159599999999998</v>
      </c>
      <c r="C1387" s="37">
        <v>66.159599999999998</v>
      </c>
      <c r="D1387" s="37">
        <v>66.159599999999998</v>
      </c>
      <c r="E1387" s="37">
        <v>66.159599999999998</v>
      </c>
    </row>
    <row r="1388" spans="1:5" x14ac:dyDescent="0.3">
      <c r="A1388" s="2">
        <v>44871</v>
      </c>
      <c r="B1388" s="36">
        <v>66.2881</v>
      </c>
      <c r="C1388" s="36">
        <v>66.2881</v>
      </c>
      <c r="D1388" s="36">
        <v>66.2881</v>
      </c>
      <c r="E1388" s="36">
        <v>66.2881</v>
      </c>
    </row>
    <row r="1389" spans="1:5" x14ac:dyDescent="0.3">
      <c r="A1389" s="1">
        <v>44872</v>
      </c>
      <c r="B1389" s="37">
        <v>66.416899999999998</v>
      </c>
      <c r="C1389" s="37">
        <v>66.416899999999998</v>
      </c>
      <c r="D1389" s="37">
        <v>66.416899999999998</v>
      </c>
      <c r="E1389" s="37">
        <v>66.416899999999998</v>
      </c>
    </row>
    <row r="1390" spans="1:5" x14ac:dyDescent="0.3">
      <c r="A1390" s="2">
        <v>44873</v>
      </c>
      <c r="B1390" s="36">
        <v>66.545900000000003</v>
      </c>
      <c r="C1390" s="36">
        <v>66.545900000000003</v>
      </c>
      <c r="D1390" s="36">
        <v>66.545900000000003</v>
      </c>
      <c r="E1390" s="36">
        <v>66.545900000000003</v>
      </c>
    </row>
    <row r="1391" spans="1:5" x14ac:dyDescent="0.3">
      <c r="A1391" s="1">
        <v>44874</v>
      </c>
      <c r="B1391" s="37">
        <v>66.675200000000004</v>
      </c>
      <c r="C1391" s="37">
        <v>66.675200000000004</v>
      </c>
      <c r="D1391" s="37">
        <v>66.675200000000004</v>
      </c>
      <c r="E1391" s="37">
        <v>66.675200000000004</v>
      </c>
    </row>
    <row r="1392" spans="1:5" x14ac:dyDescent="0.3">
      <c r="A1392" s="2">
        <v>44875</v>
      </c>
      <c r="B1392" s="36">
        <v>66.804699999999997</v>
      </c>
      <c r="C1392" s="36">
        <v>66.804699999999997</v>
      </c>
      <c r="D1392" s="36">
        <v>66.804699999999997</v>
      </c>
      <c r="E1392" s="36">
        <v>66.804699999999997</v>
      </c>
    </row>
    <row r="1393" spans="1:5" x14ac:dyDescent="0.3">
      <c r="A1393" s="1">
        <v>44876</v>
      </c>
      <c r="B1393" s="37">
        <v>66.934399999999997</v>
      </c>
      <c r="C1393" s="37">
        <v>66.934399999999997</v>
      </c>
      <c r="D1393" s="37">
        <v>66.934399999999997</v>
      </c>
      <c r="E1393" s="37">
        <v>66.934399999999997</v>
      </c>
    </row>
    <row r="1394" spans="1:5" x14ac:dyDescent="0.3">
      <c r="A1394" s="2">
        <v>44877</v>
      </c>
      <c r="B1394" s="36">
        <v>67.064400000000006</v>
      </c>
      <c r="C1394" s="36">
        <v>67.064400000000006</v>
      </c>
      <c r="D1394" s="36">
        <v>67.064400000000006</v>
      </c>
      <c r="E1394" s="36">
        <v>67.064400000000006</v>
      </c>
    </row>
    <row r="1395" spans="1:5" x14ac:dyDescent="0.3">
      <c r="A1395" s="1">
        <v>44878</v>
      </c>
      <c r="B1395" s="37">
        <v>67.194699999999997</v>
      </c>
      <c r="C1395" s="37">
        <v>67.194699999999997</v>
      </c>
      <c r="D1395" s="37">
        <v>67.194699999999997</v>
      </c>
      <c r="E1395" s="37">
        <v>67.194699999999997</v>
      </c>
    </row>
    <row r="1396" spans="1:5" x14ac:dyDescent="0.3">
      <c r="A1396" s="2">
        <v>44879</v>
      </c>
      <c r="B1396" s="36">
        <v>67.325199999999995</v>
      </c>
      <c r="C1396" s="36">
        <v>67.325199999999995</v>
      </c>
      <c r="D1396" s="36">
        <v>67.325199999999995</v>
      </c>
      <c r="E1396" s="36">
        <v>67.325199999999995</v>
      </c>
    </row>
    <row r="1397" spans="1:5" x14ac:dyDescent="0.3">
      <c r="A1397" s="1">
        <v>44880</v>
      </c>
      <c r="B1397" s="37">
        <v>67.456000000000003</v>
      </c>
      <c r="C1397" s="37">
        <v>67.456000000000003</v>
      </c>
      <c r="D1397" s="37">
        <v>67.456000000000003</v>
      </c>
      <c r="E1397" s="37">
        <v>67.456000000000003</v>
      </c>
    </row>
    <row r="1398" spans="1:5" x14ac:dyDescent="0.3">
      <c r="A1398" s="2">
        <v>44881</v>
      </c>
      <c r="B1398" s="36">
        <v>67.593500000000006</v>
      </c>
      <c r="C1398" s="36">
        <v>67.593500000000006</v>
      </c>
      <c r="D1398" s="36">
        <v>67.593500000000006</v>
      </c>
      <c r="E1398" s="36">
        <v>67.593500000000006</v>
      </c>
    </row>
    <row r="1399" spans="1:5" x14ac:dyDescent="0.3">
      <c r="A1399" s="1">
        <v>44882</v>
      </c>
      <c r="B1399" s="37">
        <v>67.731300000000005</v>
      </c>
      <c r="C1399" s="37">
        <v>67.731300000000005</v>
      </c>
      <c r="D1399" s="37">
        <v>67.731300000000005</v>
      </c>
      <c r="E1399" s="37">
        <v>67.731300000000005</v>
      </c>
    </row>
    <row r="1400" spans="1:5" x14ac:dyDescent="0.3">
      <c r="A1400" s="2">
        <v>44883</v>
      </c>
      <c r="B1400" s="36">
        <v>67.869399999999999</v>
      </c>
      <c r="C1400" s="36">
        <v>67.869399999999999</v>
      </c>
      <c r="D1400" s="36">
        <v>67.869399999999999</v>
      </c>
      <c r="E1400" s="36">
        <v>67.869399999999999</v>
      </c>
    </row>
    <row r="1401" spans="1:5" x14ac:dyDescent="0.3">
      <c r="A1401" s="1">
        <v>44884</v>
      </c>
      <c r="B1401" s="37">
        <v>68.0077</v>
      </c>
      <c r="C1401" s="37">
        <v>68.0077</v>
      </c>
      <c r="D1401" s="37">
        <v>68.0077</v>
      </c>
      <c r="E1401" s="37">
        <v>68.0077</v>
      </c>
    </row>
    <row r="1402" spans="1:5" x14ac:dyDescent="0.3">
      <c r="A1402" s="2">
        <v>44885</v>
      </c>
      <c r="B1402" s="36">
        <v>68.146299999999997</v>
      </c>
      <c r="C1402" s="36">
        <v>68.146299999999997</v>
      </c>
      <c r="D1402" s="36">
        <v>68.146299999999997</v>
      </c>
      <c r="E1402" s="36">
        <v>68.146299999999997</v>
      </c>
    </row>
    <row r="1403" spans="1:5" x14ac:dyDescent="0.3">
      <c r="A1403" s="1">
        <v>44886</v>
      </c>
      <c r="B1403" s="37">
        <v>68.285300000000007</v>
      </c>
      <c r="C1403" s="37">
        <v>68.285300000000007</v>
      </c>
      <c r="D1403" s="37">
        <v>68.285300000000007</v>
      </c>
      <c r="E1403" s="37">
        <v>68.285300000000007</v>
      </c>
    </row>
    <row r="1404" spans="1:5" x14ac:dyDescent="0.3">
      <c r="A1404" s="2">
        <v>44887</v>
      </c>
      <c r="B1404" s="36">
        <v>68.424499999999995</v>
      </c>
      <c r="C1404" s="36">
        <v>68.424499999999995</v>
      </c>
      <c r="D1404" s="36">
        <v>68.424499999999995</v>
      </c>
      <c r="E1404" s="36">
        <v>68.424499999999995</v>
      </c>
    </row>
    <row r="1405" spans="1:5" x14ac:dyDescent="0.3">
      <c r="A1405" s="1">
        <v>44888</v>
      </c>
      <c r="B1405" s="37">
        <v>68.563999999999993</v>
      </c>
      <c r="C1405" s="37">
        <v>68.563999999999993</v>
      </c>
      <c r="D1405" s="37">
        <v>68.563999999999993</v>
      </c>
      <c r="E1405" s="37">
        <v>68.563999999999993</v>
      </c>
    </row>
    <row r="1406" spans="1:5" x14ac:dyDescent="0.3">
      <c r="A1406" s="2">
        <v>44889</v>
      </c>
      <c r="B1406" s="36">
        <v>68.703699999999998</v>
      </c>
      <c r="C1406" s="36">
        <v>68.703699999999998</v>
      </c>
      <c r="D1406" s="36">
        <v>68.703699999999998</v>
      </c>
      <c r="E1406" s="36">
        <v>68.703699999999998</v>
      </c>
    </row>
    <row r="1407" spans="1:5" x14ac:dyDescent="0.3">
      <c r="A1407" s="1">
        <v>44890</v>
      </c>
      <c r="B1407" s="37">
        <v>68.843800000000002</v>
      </c>
      <c r="C1407" s="37">
        <v>68.843800000000002</v>
      </c>
      <c r="D1407" s="37">
        <v>68.843800000000002</v>
      </c>
      <c r="E1407" s="37">
        <v>68.843800000000002</v>
      </c>
    </row>
    <row r="1408" spans="1:5" x14ac:dyDescent="0.3">
      <c r="A1408" s="2">
        <v>44891</v>
      </c>
      <c r="B1408" s="36">
        <v>68.984099999999998</v>
      </c>
      <c r="C1408" s="36">
        <v>68.984099999999998</v>
      </c>
      <c r="D1408" s="36">
        <v>68.984099999999998</v>
      </c>
      <c r="E1408" s="36">
        <v>68.984099999999998</v>
      </c>
    </row>
    <row r="1409" spans="1:5" x14ac:dyDescent="0.3">
      <c r="A1409" s="1">
        <v>44892</v>
      </c>
      <c r="B1409" s="37">
        <v>69.124799999999993</v>
      </c>
      <c r="C1409" s="37">
        <v>69.124799999999993</v>
      </c>
      <c r="D1409" s="37">
        <v>69.124799999999993</v>
      </c>
      <c r="E1409" s="37">
        <v>69.124799999999993</v>
      </c>
    </row>
    <row r="1410" spans="1:5" x14ac:dyDescent="0.3">
      <c r="A1410" s="2">
        <v>44893</v>
      </c>
      <c r="B1410" s="36">
        <v>69.265699999999995</v>
      </c>
      <c r="C1410" s="36">
        <v>69.265699999999995</v>
      </c>
      <c r="D1410" s="36">
        <v>69.265699999999995</v>
      </c>
      <c r="E1410" s="36">
        <v>69.265699999999995</v>
      </c>
    </row>
    <row r="1411" spans="1:5" x14ac:dyDescent="0.3">
      <c r="A1411" s="1">
        <v>44894</v>
      </c>
      <c r="B1411" s="37">
        <v>69.406899999999993</v>
      </c>
      <c r="C1411" s="37">
        <v>69.406899999999993</v>
      </c>
      <c r="D1411" s="37">
        <v>69.406899999999993</v>
      </c>
      <c r="E1411" s="37">
        <v>69.406899999999993</v>
      </c>
    </row>
    <row r="1412" spans="1:5" x14ac:dyDescent="0.3">
      <c r="A1412" s="2">
        <v>44895</v>
      </c>
      <c r="B1412" s="36">
        <v>69.548400000000001</v>
      </c>
      <c r="C1412" s="36">
        <v>69.548400000000001</v>
      </c>
      <c r="D1412" s="36">
        <v>69.548400000000001</v>
      </c>
      <c r="E1412" s="36">
        <v>69.548400000000001</v>
      </c>
    </row>
    <row r="1413" spans="1:5" x14ac:dyDescent="0.3">
      <c r="A1413" s="1">
        <v>44896</v>
      </c>
      <c r="B1413" s="37">
        <v>69.690200000000004</v>
      </c>
      <c r="C1413" s="37">
        <v>69.690200000000004</v>
      </c>
      <c r="D1413" s="37">
        <v>69.690200000000004</v>
      </c>
      <c r="E1413" s="37">
        <v>69.690200000000004</v>
      </c>
    </row>
    <row r="1414" spans="1:5" x14ac:dyDescent="0.3">
      <c r="A1414" s="2">
        <v>44897</v>
      </c>
      <c r="B1414" s="36">
        <v>69.8322</v>
      </c>
      <c r="C1414" s="36">
        <v>69.8322</v>
      </c>
      <c r="D1414" s="36">
        <v>69.8322</v>
      </c>
      <c r="E1414" s="36">
        <v>69.8322</v>
      </c>
    </row>
    <row r="1415" spans="1:5" x14ac:dyDescent="0.3">
      <c r="A1415" s="1">
        <v>44898</v>
      </c>
      <c r="B1415" s="37">
        <v>69.974599999999995</v>
      </c>
      <c r="C1415" s="37">
        <v>69.974599999999995</v>
      </c>
      <c r="D1415" s="37">
        <v>69.974599999999995</v>
      </c>
      <c r="E1415" s="37">
        <v>69.974599999999995</v>
      </c>
    </row>
    <row r="1416" spans="1:5" x14ac:dyDescent="0.3">
      <c r="A1416" s="2">
        <v>44899</v>
      </c>
      <c r="B1416" s="36">
        <v>70.117199999999997</v>
      </c>
      <c r="C1416" s="36">
        <v>70.117199999999997</v>
      </c>
      <c r="D1416" s="36">
        <v>70.117199999999997</v>
      </c>
      <c r="E1416" s="36">
        <v>70.117199999999997</v>
      </c>
    </row>
    <row r="1417" spans="1:5" x14ac:dyDescent="0.3">
      <c r="A1417" s="1">
        <v>44900</v>
      </c>
      <c r="B1417" s="37">
        <v>70.260199999999998</v>
      </c>
      <c r="C1417" s="37">
        <v>70.260199999999998</v>
      </c>
      <c r="D1417" s="37">
        <v>70.260199999999998</v>
      </c>
      <c r="E1417" s="37">
        <v>70.260199999999998</v>
      </c>
    </row>
    <row r="1418" spans="1:5" x14ac:dyDescent="0.3">
      <c r="A1418" s="2">
        <v>44901</v>
      </c>
      <c r="B1418" s="36">
        <v>70.403400000000005</v>
      </c>
      <c r="C1418" s="36">
        <v>70.403400000000005</v>
      </c>
      <c r="D1418" s="36">
        <v>70.403400000000005</v>
      </c>
      <c r="E1418" s="36">
        <v>70.403400000000005</v>
      </c>
    </row>
    <row r="1419" spans="1:5" x14ac:dyDescent="0.3">
      <c r="A1419" s="1">
        <v>44902</v>
      </c>
      <c r="B1419" s="37">
        <v>70.546899999999994</v>
      </c>
      <c r="C1419" s="37">
        <v>70.546899999999994</v>
      </c>
      <c r="D1419" s="37">
        <v>70.546899999999994</v>
      </c>
      <c r="E1419" s="37">
        <v>70.546899999999994</v>
      </c>
    </row>
    <row r="1420" spans="1:5" x14ac:dyDescent="0.3">
      <c r="A1420" s="2">
        <v>44903</v>
      </c>
      <c r="B1420" s="36">
        <v>70.690700000000007</v>
      </c>
      <c r="C1420" s="36">
        <v>70.690700000000007</v>
      </c>
      <c r="D1420" s="36">
        <v>70.690700000000007</v>
      </c>
      <c r="E1420" s="36">
        <v>70.690700000000007</v>
      </c>
    </row>
    <row r="1421" spans="1:5" x14ac:dyDescent="0.3">
      <c r="A1421" s="1">
        <v>44904</v>
      </c>
      <c r="B1421" s="37">
        <v>70.834900000000005</v>
      </c>
      <c r="C1421" s="37">
        <v>70.834900000000005</v>
      </c>
      <c r="D1421" s="37">
        <v>70.834900000000005</v>
      </c>
      <c r="E1421" s="37">
        <v>70.834900000000005</v>
      </c>
    </row>
    <row r="1422" spans="1:5" x14ac:dyDescent="0.3">
      <c r="A1422" s="2">
        <v>44905</v>
      </c>
      <c r="B1422" s="36">
        <v>70.979299999999995</v>
      </c>
      <c r="C1422" s="36">
        <v>70.979299999999995</v>
      </c>
      <c r="D1422" s="36">
        <v>70.979299999999995</v>
      </c>
      <c r="E1422" s="36">
        <v>70.979299999999995</v>
      </c>
    </row>
    <row r="1423" spans="1:5" x14ac:dyDescent="0.3">
      <c r="A1423" s="1">
        <v>44906</v>
      </c>
      <c r="B1423" s="37">
        <v>71.123999999999995</v>
      </c>
      <c r="C1423" s="37">
        <v>71.123999999999995</v>
      </c>
      <c r="D1423" s="37">
        <v>71.123999999999995</v>
      </c>
      <c r="E1423" s="37">
        <v>71.123999999999995</v>
      </c>
    </row>
    <row r="1424" spans="1:5" x14ac:dyDescent="0.3">
      <c r="A1424" s="2">
        <v>44907</v>
      </c>
      <c r="B1424" s="36">
        <v>71.268900000000002</v>
      </c>
      <c r="C1424" s="36">
        <v>71.268900000000002</v>
      </c>
      <c r="D1424" s="36">
        <v>71.268900000000002</v>
      </c>
      <c r="E1424" s="36">
        <v>71.268900000000002</v>
      </c>
    </row>
    <row r="1425" spans="1:5" x14ac:dyDescent="0.3">
      <c r="A1425" s="1">
        <v>44908</v>
      </c>
      <c r="B1425" s="37">
        <v>71.414199999999994</v>
      </c>
      <c r="C1425" s="37">
        <v>71.414199999999994</v>
      </c>
      <c r="D1425" s="37">
        <v>71.414199999999994</v>
      </c>
      <c r="E1425" s="37">
        <v>71.414199999999994</v>
      </c>
    </row>
    <row r="1426" spans="1:5" x14ac:dyDescent="0.3">
      <c r="A1426" s="2">
        <v>44909</v>
      </c>
      <c r="B1426" s="36">
        <v>71.559799999999996</v>
      </c>
      <c r="C1426" s="36">
        <v>71.559799999999996</v>
      </c>
      <c r="D1426" s="36">
        <v>71.559799999999996</v>
      </c>
      <c r="E1426" s="36">
        <v>71.559799999999996</v>
      </c>
    </row>
    <row r="1427" spans="1:5" x14ac:dyDescent="0.3">
      <c r="A1427" s="1">
        <v>44910</v>
      </c>
      <c r="B1427" s="37">
        <v>71.705699999999993</v>
      </c>
      <c r="C1427" s="37">
        <v>71.705699999999993</v>
      </c>
      <c r="D1427" s="37">
        <v>71.705699999999993</v>
      </c>
      <c r="E1427" s="37">
        <v>71.705699999999993</v>
      </c>
    </row>
    <row r="1428" spans="1:5" x14ac:dyDescent="0.3">
      <c r="A1428" s="2">
        <v>44911</v>
      </c>
      <c r="B1428" s="36">
        <v>71.816400000000002</v>
      </c>
      <c r="C1428" s="36">
        <v>71.816400000000002</v>
      </c>
      <c r="D1428" s="36">
        <v>71.816400000000002</v>
      </c>
      <c r="E1428" s="36">
        <v>71.816400000000002</v>
      </c>
    </row>
    <row r="1429" spans="1:5" x14ac:dyDescent="0.3">
      <c r="A1429" s="1">
        <v>44912</v>
      </c>
      <c r="B1429" s="37">
        <v>71.927300000000002</v>
      </c>
      <c r="C1429" s="37">
        <v>71.927300000000002</v>
      </c>
      <c r="D1429" s="37">
        <v>71.927300000000002</v>
      </c>
      <c r="E1429" s="37">
        <v>71.927300000000002</v>
      </c>
    </row>
    <row r="1430" spans="1:5" x14ac:dyDescent="0.3">
      <c r="A1430" s="2">
        <v>44913</v>
      </c>
      <c r="B1430" s="36">
        <v>72.038399999999996</v>
      </c>
      <c r="C1430" s="36">
        <v>72.038399999999996</v>
      </c>
      <c r="D1430" s="36">
        <v>72.038399999999996</v>
      </c>
      <c r="E1430" s="36">
        <v>72.038399999999996</v>
      </c>
    </row>
    <row r="1431" spans="1:5" x14ac:dyDescent="0.3">
      <c r="A1431" s="1">
        <v>44914</v>
      </c>
      <c r="B1431" s="37">
        <v>72.149699999999996</v>
      </c>
      <c r="C1431" s="37">
        <v>72.149699999999996</v>
      </c>
      <c r="D1431" s="37">
        <v>72.149699999999996</v>
      </c>
      <c r="E1431" s="37">
        <v>72.149699999999996</v>
      </c>
    </row>
    <row r="1432" spans="1:5" x14ac:dyDescent="0.3">
      <c r="A1432" s="2">
        <v>44915</v>
      </c>
      <c r="B1432" s="36">
        <v>72.261099999999999</v>
      </c>
      <c r="C1432" s="36">
        <v>72.261099999999999</v>
      </c>
      <c r="D1432" s="36">
        <v>72.261099999999999</v>
      </c>
      <c r="E1432" s="36">
        <v>72.261099999999999</v>
      </c>
    </row>
    <row r="1433" spans="1:5" x14ac:dyDescent="0.3">
      <c r="A1433" s="1">
        <v>44916</v>
      </c>
      <c r="B1433" s="37">
        <v>72.372699999999995</v>
      </c>
      <c r="C1433" s="37">
        <v>72.372699999999995</v>
      </c>
      <c r="D1433" s="37">
        <v>72.372699999999995</v>
      </c>
      <c r="E1433" s="37">
        <v>72.372699999999995</v>
      </c>
    </row>
    <row r="1434" spans="1:5" x14ac:dyDescent="0.3">
      <c r="A1434" s="2">
        <v>44917</v>
      </c>
      <c r="B1434" s="36">
        <v>72.484499999999997</v>
      </c>
      <c r="C1434" s="36">
        <v>72.484499999999997</v>
      </c>
      <c r="D1434" s="36">
        <v>72.484499999999997</v>
      </c>
      <c r="E1434" s="36">
        <v>72.484499999999997</v>
      </c>
    </row>
    <row r="1435" spans="1:5" x14ac:dyDescent="0.3">
      <c r="A1435" s="1">
        <v>44918</v>
      </c>
      <c r="B1435" s="37">
        <v>72.596400000000003</v>
      </c>
      <c r="C1435" s="37">
        <v>72.596400000000003</v>
      </c>
      <c r="D1435" s="37">
        <v>72.596400000000003</v>
      </c>
      <c r="E1435" s="37">
        <v>72.596400000000003</v>
      </c>
    </row>
    <row r="1436" spans="1:5" x14ac:dyDescent="0.3">
      <c r="A1436" s="2">
        <v>44919</v>
      </c>
      <c r="B1436" s="36">
        <v>72.708500000000001</v>
      </c>
      <c r="C1436" s="36">
        <v>72.708500000000001</v>
      </c>
      <c r="D1436" s="36">
        <v>72.708500000000001</v>
      </c>
      <c r="E1436" s="36">
        <v>72.708500000000001</v>
      </c>
    </row>
    <row r="1437" spans="1:5" x14ac:dyDescent="0.3">
      <c r="A1437" s="1">
        <v>44920</v>
      </c>
      <c r="B1437" s="37">
        <v>72.820800000000006</v>
      </c>
      <c r="C1437" s="37">
        <v>72.820800000000006</v>
      </c>
      <c r="D1437" s="37">
        <v>72.820800000000006</v>
      </c>
      <c r="E1437" s="37">
        <v>72.820800000000006</v>
      </c>
    </row>
    <row r="1438" spans="1:5" x14ac:dyDescent="0.3">
      <c r="A1438" s="2">
        <v>44921</v>
      </c>
      <c r="B1438" s="36">
        <v>72.933300000000003</v>
      </c>
      <c r="C1438" s="36">
        <v>72.933300000000003</v>
      </c>
      <c r="D1438" s="36">
        <v>72.933300000000003</v>
      </c>
      <c r="E1438" s="36">
        <v>72.933300000000003</v>
      </c>
    </row>
    <row r="1439" spans="1:5" x14ac:dyDescent="0.3">
      <c r="A1439" s="1">
        <v>44922</v>
      </c>
      <c r="B1439" s="37">
        <v>73.045900000000003</v>
      </c>
      <c r="C1439" s="37">
        <v>73.045900000000003</v>
      </c>
      <c r="D1439" s="37">
        <v>73.045900000000003</v>
      </c>
      <c r="E1439" s="37">
        <v>73.045900000000003</v>
      </c>
    </row>
    <row r="1440" spans="1:5" x14ac:dyDescent="0.3">
      <c r="A1440" s="2">
        <v>44923</v>
      </c>
      <c r="B1440" s="36">
        <v>73.158699999999996</v>
      </c>
      <c r="C1440" s="36">
        <v>73.158699999999996</v>
      </c>
      <c r="D1440" s="36">
        <v>73.158699999999996</v>
      </c>
      <c r="E1440" s="36">
        <v>73.158699999999996</v>
      </c>
    </row>
    <row r="1441" spans="1:5" x14ac:dyDescent="0.3">
      <c r="A1441" s="1">
        <v>44924</v>
      </c>
      <c r="B1441" s="37">
        <v>73.271699999999996</v>
      </c>
      <c r="C1441" s="37">
        <v>73.271699999999996</v>
      </c>
      <c r="D1441" s="37">
        <v>73.271699999999996</v>
      </c>
      <c r="E1441" s="37">
        <v>73.271699999999996</v>
      </c>
    </row>
    <row r="1442" spans="1:5" x14ac:dyDescent="0.3">
      <c r="A1442" s="2">
        <v>44925</v>
      </c>
      <c r="B1442" s="36">
        <v>73.384799999999998</v>
      </c>
      <c r="C1442" s="36">
        <v>73.384799999999998</v>
      </c>
      <c r="D1442" s="36">
        <v>73.384799999999998</v>
      </c>
      <c r="E1442" s="36">
        <v>73.384799999999998</v>
      </c>
    </row>
    <row r="1443" spans="1:5" x14ac:dyDescent="0.3">
      <c r="A1443" s="1">
        <v>44926</v>
      </c>
      <c r="B1443" s="37">
        <v>73.498199999999997</v>
      </c>
      <c r="C1443" s="37">
        <v>73.498199999999997</v>
      </c>
      <c r="D1443" s="37">
        <v>73.498199999999997</v>
      </c>
      <c r="E1443" s="37">
        <v>73.498199999999997</v>
      </c>
    </row>
    <row r="1444" spans="1:5" x14ac:dyDescent="0.3">
      <c r="A1444" s="2">
        <v>44927</v>
      </c>
      <c r="B1444" s="36">
        <v>73.611699999999999</v>
      </c>
      <c r="C1444" s="36">
        <v>73.611699999999999</v>
      </c>
      <c r="D1444" s="36">
        <v>73.611699999999999</v>
      </c>
      <c r="E1444" s="36">
        <v>73.611699999999999</v>
      </c>
    </row>
    <row r="1445" spans="1:5" x14ac:dyDescent="0.3">
      <c r="A1445" s="1">
        <v>44928</v>
      </c>
      <c r="B1445" s="37">
        <v>73.725300000000004</v>
      </c>
      <c r="C1445" s="37">
        <v>73.725300000000004</v>
      </c>
      <c r="D1445" s="37">
        <v>73.725300000000004</v>
      </c>
      <c r="E1445" s="37">
        <v>73.725300000000004</v>
      </c>
    </row>
    <row r="1446" spans="1:5" x14ac:dyDescent="0.3">
      <c r="A1446" s="2">
        <v>44929</v>
      </c>
      <c r="B1446" s="36">
        <v>73.839200000000005</v>
      </c>
      <c r="C1446" s="36">
        <v>73.839200000000005</v>
      </c>
      <c r="D1446" s="36">
        <v>73.839200000000005</v>
      </c>
      <c r="E1446" s="36">
        <v>73.839200000000005</v>
      </c>
    </row>
    <row r="1447" spans="1:5" x14ac:dyDescent="0.3">
      <c r="A1447" s="1">
        <v>44930</v>
      </c>
      <c r="B1447" s="37">
        <v>73.953199999999995</v>
      </c>
      <c r="C1447" s="37">
        <v>73.953199999999995</v>
      </c>
      <c r="D1447" s="37">
        <v>73.953199999999995</v>
      </c>
      <c r="E1447" s="37">
        <v>73.953199999999995</v>
      </c>
    </row>
    <row r="1448" spans="1:5" x14ac:dyDescent="0.3">
      <c r="A1448" s="2">
        <v>44931</v>
      </c>
      <c r="B1448" s="36">
        <v>74.067400000000006</v>
      </c>
      <c r="C1448" s="36">
        <v>74.067400000000006</v>
      </c>
      <c r="D1448" s="36">
        <v>74.067400000000006</v>
      </c>
      <c r="E1448" s="36">
        <v>74.067400000000006</v>
      </c>
    </row>
    <row r="1449" spans="1:5" x14ac:dyDescent="0.3">
      <c r="A1449" s="1">
        <v>44932</v>
      </c>
      <c r="B1449" s="37">
        <v>74.181799999999996</v>
      </c>
      <c r="C1449" s="37">
        <v>74.181799999999996</v>
      </c>
      <c r="D1449" s="37">
        <v>74.181799999999996</v>
      </c>
      <c r="E1449" s="37">
        <v>74.181799999999996</v>
      </c>
    </row>
    <row r="1450" spans="1:5" x14ac:dyDescent="0.3">
      <c r="A1450" s="2">
        <v>44933</v>
      </c>
      <c r="B1450" s="36">
        <v>74.296400000000006</v>
      </c>
      <c r="C1450" s="36">
        <v>74.296400000000006</v>
      </c>
      <c r="D1450" s="36">
        <v>74.296400000000006</v>
      </c>
      <c r="E1450" s="36">
        <v>74.296400000000006</v>
      </c>
    </row>
    <row r="1451" spans="1:5" x14ac:dyDescent="0.3">
      <c r="A1451" s="1">
        <v>44934</v>
      </c>
      <c r="B1451" s="37">
        <v>74.411100000000005</v>
      </c>
      <c r="C1451" s="37">
        <v>74.411100000000005</v>
      </c>
      <c r="D1451" s="37">
        <v>74.411100000000005</v>
      </c>
      <c r="E1451" s="37">
        <v>74.411100000000005</v>
      </c>
    </row>
    <row r="1452" spans="1:5" x14ac:dyDescent="0.3">
      <c r="A1452" s="2">
        <v>44935</v>
      </c>
      <c r="B1452" s="36">
        <v>74.525999999999996</v>
      </c>
      <c r="C1452" s="36">
        <v>74.525999999999996</v>
      </c>
      <c r="D1452" s="36">
        <v>74.525999999999996</v>
      </c>
      <c r="E1452" s="36">
        <v>74.525999999999996</v>
      </c>
    </row>
    <row r="1453" spans="1:5" x14ac:dyDescent="0.3">
      <c r="A1453" s="1">
        <v>44936</v>
      </c>
      <c r="B1453" s="37">
        <v>74.641099999999994</v>
      </c>
      <c r="C1453" s="37">
        <v>74.641099999999994</v>
      </c>
      <c r="D1453" s="37">
        <v>74.641099999999994</v>
      </c>
      <c r="E1453" s="37">
        <v>74.641099999999994</v>
      </c>
    </row>
    <row r="1454" spans="1:5" x14ac:dyDescent="0.3">
      <c r="A1454" s="2">
        <v>44937</v>
      </c>
      <c r="B1454" s="36">
        <v>74.756399999999999</v>
      </c>
      <c r="C1454" s="36">
        <v>74.756399999999999</v>
      </c>
      <c r="D1454" s="36">
        <v>74.756399999999999</v>
      </c>
      <c r="E1454" s="36">
        <v>74.756399999999999</v>
      </c>
    </row>
    <row r="1455" spans="1:5" x14ac:dyDescent="0.3">
      <c r="A1455" s="1">
        <v>44938</v>
      </c>
      <c r="B1455" s="37">
        <v>74.871899999999997</v>
      </c>
      <c r="C1455" s="37">
        <v>74.871899999999997</v>
      </c>
      <c r="D1455" s="37">
        <v>74.871899999999997</v>
      </c>
      <c r="E1455" s="37">
        <v>74.871899999999997</v>
      </c>
    </row>
    <row r="1456" spans="1:5" x14ac:dyDescent="0.3">
      <c r="A1456" s="2">
        <v>44939</v>
      </c>
      <c r="B1456" s="36">
        <v>74.987499999999997</v>
      </c>
      <c r="C1456" s="36">
        <v>74.987499999999997</v>
      </c>
      <c r="D1456" s="36">
        <v>74.987499999999997</v>
      </c>
      <c r="E1456" s="36">
        <v>74.987499999999997</v>
      </c>
    </row>
    <row r="1457" spans="1:5" x14ac:dyDescent="0.3">
      <c r="A1457" s="1">
        <v>44940</v>
      </c>
      <c r="B1457" s="37">
        <v>75.103300000000004</v>
      </c>
      <c r="C1457" s="37">
        <v>75.103300000000004</v>
      </c>
      <c r="D1457" s="37">
        <v>75.103300000000004</v>
      </c>
      <c r="E1457" s="37">
        <v>75.103300000000004</v>
      </c>
    </row>
    <row r="1458" spans="1:5" x14ac:dyDescent="0.3">
      <c r="A1458" s="2">
        <v>44941</v>
      </c>
      <c r="B1458" s="36">
        <v>75.219300000000004</v>
      </c>
      <c r="C1458" s="36">
        <v>75.219300000000004</v>
      </c>
      <c r="D1458" s="36">
        <v>75.219300000000004</v>
      </c>
      <c r="E1458" s="36">
        <v>75.219300000000004</v>
      </c>
    </row>
    <row r="1459" spans="1:5" x14ac:dyDescent="0.3">
      <c r="A1459" s="1">
        <v>44942</v>
      </c>
      <c r="B1459" s="37">
        <v>75.340100000000007</v>
      </c>
      <c r="C1459" s="37">
        <v>75.340100000000007</v>
      </c>
      <c r="D1459" s="37">
        <v>75.340100000000007</v>
      </c>
      <c r="E1459" s="37">
        <v>75.340100000000007</v>
      </c>
    </row>
    <row r="1460" spans="1:5" x14ac:dyDescent="0.3">
      <c r="A1460" s="2">
        <v>44943</v>
      </c>
      <c r="B1460" s="36">
        <v>75.461100000000002</v>
      </c>
      <c r="C1460" s="36">
        <v>75.461100000000002</v>
      </c>
      <c r="D1460" s="36">
        <v>75.461100000000002</v>
      </c>
      <c r="E1460" s="36">
        <v>75.461100000000002</v>
      </c>
    </row>
    <row r="1461" spans="1:5" x14ac:dyDescent="0.3">
      <c r="A1461" s="1">
        <v>44944</v>
      </c>
      <c r="B1461" s="37">
        <v>75.5822</v>
      </c>
      <c r="C1461" s="37">
        <v>75.5822</v>
      </c>
      <c r="D1461" s="37">
        <v>75.5822</v>
      </c>
      <c r="E1461" s="37">
        <v>75.5822</v>
      </c>
    </row>
    <row r="1462" spans="1:5" x14ac:dyDescent="0.3">
      <c r="A1462" s="2">
        <v>44945</v>
      </c>
      <c r="B1462" s="36">
        <v>75.703599999999994</v>
      </c>
      <c r="C1462" s="36">
        <v>75.703599999999994</v>
      </c>
      <c r="D1462" s="36">
        <v>75.703599999999994</v>
      </c>
      <c r="E1462" s="36">
        <v>75.703599999999994</v>
      </c>
    </row>
    <row r="1463" spans="1:5" x14ac:dyDescent="0.3">
      <c r="A1463" s="1">
        <v>44946</v>
      </c>
      <c r="B1463" s="37">
        <v>75.825199999999995</v>
      </c>
      <c r="C1463" s="37">
        <v>75.825199999999995</v>
      </c>
      <c r="D1463" s="37">
        <v>75.825199999999995</v>
      </c>
      <c r="E1463" s="37">
        <v>75.825199999999995</v>
      </c>
    </row>
    <row r="1464" spans="1:5" x14ac:dyDescent="0.3">
      <c r="A1464" s="2">
        <v>44947</v>
      </c>
      <c r="B1464" s="36">
        <v>75.946899999999999</v>
      </c>
      <c r="C1464" s="36">
        <v>75.946899999999999</v>
      </c>
      <c r="D1464" s="36">
        <v>75.946899999999999</v>
      </c>
      <c r="E1464" s="36">
        <v>75.946899999999999</v>
      </c>
    </row>
    <row r="1465" spans="1:5" x14ac:dyDescent="0.3">
      <c r="A1465" s="1">
        <v>44948</v>
      </c>
      <c r="B1465" s="37">
        <v>76.068899999999999</v>
      </c>
      <c r="C1465" s="37">
        <v>76.068899999999999</v>
      </c>
      <c r="D1465" s="37">
        <v>76.068899999999999</v>
      </c>
      <c r="E1465" s="37">
        <v>76.068899999999999</v>
      </c>
    </row>
    <row r="1466" spans="1:5" x14ac:dyDescent="0.3">
      <c r="A1466" s="2">
        <v>44949</v>
      </c>
      <c r="B1466" s="36">
        <v>76.191100000000006</v>
      </c>
      <c r="C1466" s="36">
        <v>76.191100000000006</v>
      </c>
      <c r="D1466" s="36">
        <v>76.191100000000006</v>
      </c>
      <c r="E1466" s="36">
        <v>76.191100000000006</v>
      </c>
    </row>
    <row r="1467" spans="1:5" x14ac:dyDescent="0.3">
      <c r="A1467" s="1">
        <v>44950</v>
      </c>
      <c r="B1467" s="37">
        <v>76.313400000000001</v>
      </c>
      <c r="C1467" s="37">
        <v>76.313400000000001</v>
      </c>
      <c r="D1467" s="37">
        <v>76.313400000000001</v>
      </c>
      <c r="E1467" s="37">
        <v>76.313400000000001</v>
      </c>
    </row>
    <row r="1468" spans="1:5" x14ac:dyDescent="0.3">
      <c r="A1468" s="2">
        <v>44951</v>
      </c>
      <c r="B1468" s="36">
        <v>76.436000000000007</v>
      </c>
      <c r="C1468" s="36">
        <v>76.436000000000007</v>
      </c>
      <c r="D1468" s="36">
        <v>76.436000000000007</v>
      </c>
      <c r="E1468" s="36">
        <v>76.436000000000007</v>
      </c>
    </row>
    <row r="1469" spans="1:5" x14ac:dyDescent="0.3">
      <c r="A1469" s="1">
        <v>44952</v>
      </c>
      <c r="B1469" s="37">
        <v>76.558700000000002</v>
      </c>
      <c r="C1469" s="37">
        <v>76.558700000000002</v>
      </c>
      <c r="D1469" s="37">
        <v>76.558700000000002</v>
      </c>
      <c r="E1469" s="37">
        <v>76.558700000000002</v>
      </c>
    </row>
    <row r="1470" spans="1:5" x14ac:dyDescent="0.3">
      <c r="A1470" s="2">
        <v>44953</v>
      </c>
      <c r="B1470" s="36">
        <v>76.681700000000006</v>
      </c>
      <c r="C1470" s="36">
        <v>76.681700000000006</v>
      </c>
      <c r="D1470" s="36">
        <v>76.681700000000006</v>
      </c>
      <c r="E1470" s="36">
        <v>76.681700000000006</v>
      </c>
    </row>
    <row r="1471" spans="1:5" x14ac:dyDescent="0.3">
      <c r="A1471" s="1">
        <v>44954</v>
      </c>
      <c r="B1471" s="37">
        <v>76.8048</v>
      </c>
      <c r="C1471" s="37">
        <v>76.8048</v>
      </c>
      <c r="D1471" s="37">
        <v>76.8048</v>
      </c>
      <c r="E1471" s="37">
        <v>76.8048</v>
      </c>
    </row>
    <row r="1472" spans="1:5" x14ac:dyDescent="0.3">
      <c r="A1472" s="2">
        <v>44955</v>
      </c>
      <c r="B1472" s="36">
        <v>76.928100000000001</v>
      </c>
      <c r="C1472" s="36">
        <v>76.928100000000001</v>
      </c>
      <c r="D1472" s="36">
        <v>76.928100000000001</v>
      </c>
      <c r="E1472" s="36">
        <v>76.928100000000001</v>
      </c>
    </row>
    <row r="1473" spans="1:5" x14ac:dyDescent="0.3">
      <c r="A1473" s="1">
        <v>44956</v>
      </c>
      <c r="B1473" s="37">
        <v>77.051699999999997</v>
      </c>
      <c r="C1473" s="37">
        <v>77.051699999999997</v>
      </c>
      <c r="D1473" s="37">
        <v>77.051699999999997</v>
      </c>
      <c r="E1473" s="37">
        <v>77.051699999999997</v>
      </c>
    </row>
    <row r="1474" spans="1:5" x14ac:dyDescent="0.3">
      <c r="A1474" s="2">
        <v>44957</v>
      </c>
      <c r="B1474" s="36">
        <v>77.175399999999996</v>
      </c>
      <c r="C1474" s="36">
        <v>77.175399999999996</v>
      </c>
      <c r="D1474" s="36">
        <v>77.175399999999996</v>
      </c>
      <c r="E1474" s="36">
        <v>77.175399999999996</v>
      </c>
    </row>
    <row r="1475" spans="1:5" x14ac:dyDescent="0.3">
      <c r="A1475" s="1">
        <v>44958</v>
      </c>
      <c r="B1475" s="37">
        <v>77.299300000000002</v>
      </c>
      <c r="C1475" s="37">
        <v>77.299300000000002</v>
      </c>
      <c r="D1475" s="37">
        <v>77.299300000000002</v>
      </c>
      <c r="E1475" s="37">
        <v>77.299300000000002</v>
      </c>
    </row>
    <row r="1476" spans="1:5" x14ac:dyDescent="0.3">
      <c r="A1476" s="2">
        <v>44959</v>
      </c>
      <c r="B1476" s="36">
        <v>77.423500000000004</v>
      </c>
      <c r="C1476" s="36">
        <v>77.423500000000004</v>
      </c>
      <c r="D1476" s="36">
        <v>77.423500000000004</v>
      </c>
      <c r="E1476" s="36">
        <v>77.423500000000004</v>
      </c>
    </row>
    <row r="1477" spans="1:5" x14ac:dyDescent="0.3">
      <c r="A1477" s="1">
        <v>44960</v>
      </c>
      <c r="B1477" s="37">
        <v>77.547799999999995</v>
      </c>
      <c r="C1477" s="37">
        <v>77.547799999999995</v>
      </c>
      <c r="D1477" s="37">
        <v>77.547799999999995</v>
      </c>
      <c r="E1477" s="37">
        <v>77.547799999999995</v>
      </c>
    </row>
    <row r="1478" spans="1:5" x14ac:dyDescent="0.3">
      <c r="A1478" s="2">
        <v>44961</v>
      </c>
      <c r="B1478" s="36">
        <v>77.672300000000007</v>
      </c>
      <c r="C1478" s="36">
        <v>77.672300000000007</v>
      </c>
      <c r="D1478" s="36">
        <v>77.672300000000007</v>
      </c>
      <c r="E1478" s="36">
        <v>77.672300000000007</v>
      </c>
    </row>
    <row r="1479" spans="1:5" x14ac:dyDescent="0.3">
      <c r="A1479" s="1">
        <v>44962</v>
      </c>
      <c r="B1479" s="37">
        <v>77.7971</v>
      </c>
      <c r="C1479" s="37">
        <v>77.7971</v>
      </c>
      <c r="D1479" s="37">
        <v>77.7971</v>
      </c>
      <c r="E1479" s="37">
        <v>77.7971</v>
      </c>
    </row>
    <row r="1480" spans="1:5" x14ac:dyDescent="0.3">
      <c r="A1480" s="2">
        <v>44963</v>
      </c>
      <c r="B1480" s="36">
        <v>77.921999999999997</v>
      </c>
      <c r="C1480" s="36">
        <v>77.921999999999997</v>
      </c>
      <c r="D1480" s="36">
        <v>77.921999999999997</v>
      </c>
      <c r="E1480" s="36">
        <v>77.921999999999997</v>
      </c>
    </row>
    <row r="1481" spans="1:5" x14ac:dyDescent="0.3">
      <c r="A1481" s="1">
        <v>44964</v>
      </c>
      <c r="B1481" s="37">
        <v>78.0471</v>
      </c>
      <c r="C1481" s="37">
        <v>78.0471</v>
      </c>
      <c r="D1481" s="37">
        <v>78.0471</v>
      </c>
      <c r="E1481" s="37">
        <v>78.0471</v>
      </c>
    </row>
    <row r="1482" spans="1:5" x14ac:dyDescent="0.3">
      <c r="A1482" s="2">
        <v>44965</v>
      </c>
      <c r="B1482" s="36">
        <v>78.172499999999999</v>
      </c>
      <c r="C1482" s="36">
        <v>78.172499999999999</v>
      </c>
      <c r="D1482" s="36">
        <v>78.172499999999999</v>
      </c>
      <c r="E1482" s="36">
        <v>78.172499999999999</v>
      </c>
    </row>
    <row r="1483" spans="1:5" x14ac:dyDescent="0.3">
      <c r="A1483" s="1">
        <v>44966</v>
      </c>
      <c r="B1483" s="37">
        <v>78.298000000000002</v>
      </c>
      <c r="C1483" s="37">
        <v>78.298000000000002</v>
      </c>
      <c r="D1483" s="37">
        <v>78.298000000000002</v>
      </c>
      <c r="E1483" s="37">
        <v>78.298000000000002</v>
      </c>
    </row>
    <row r="1484" spans="1:5" x14ac:dyDescent="0.3">
      <c r="A1484" s="2">
        <v>44967</v>
      </c>
      <c r="B1484" s="36">
        <v>78.423699999999997</v>
      </c>
      <c r="C1484" s="36">
        <v>78.423699999999997</v>
      </c>
      <c r="D1484" s="36">
        <v>78.423699999999997</v>
      </c>
      <c r="E1484" s="36">
        <v>78.423699999999997</v>
      </c>
    </row>
    <row r="1485" spans="1:5" x14ac:dyDescent="0.3">
      <c r="A1485" s="1">
        <v>44968</v>
      </c>
      <c r="B1485" s="37">
        <v>78.549700000000001</v>
      </c>
      <c r="C1485" s="37">
        <v>78.549700000000001</v>
      </c>
      <c r="D1485" s="37">
        <v>78.549700000000001</v>
      </c>
      <c r="E1485" s="37">
        <v>78.549700000000001</v>
      </c>
    </row>
    <row r="1486" spans="1:5" x14ac:dyDescent="0.3">
      <c r="A1486" s="2">
        <v>44969</v>
      </c>
      <c r="B1486" s="36">
        <v>78.675799999999995</v>
      </c>
      <c r="C1486" s="36">
        <v>78.675799999999995</v>
      </c>
      <c r="D1486" s="36">
        <v>78.675799999999995</v>
      </c>
      <c r="E1486" s="36">
        <v>78.675799999999995</v>
      </c>
    </row>
    <row r="1487" spans="1:5" x14ac:dyDescent="0.3">
      <c r="A1487" s="1">
        <v>44970</v>
      </c>
      <c r="B1487" s="37">
        <v>78.802199999999999</v>
      </c>
      <c r="C1487" s="37">
        <v>78.802199999999999</v>
      </c>
      <c r="D1487" s="37">
        <v>78.802199999999999</v>
      </c>
      <c r="E1487" s="37">
        <v>78.802199999999999</v>
      </c>
    </row>
    <row r="1488" spans="1:5" x14ac:dyDescent="0.3">
      <c r="A1488" s="2">
        <v>44971</v>
      </c>
      <c r="B1488" s="36">
        <v>78.928700000000006</v>
      </c>
      <c r="C1488" s="36">
        <v>78.928700000000006</v>
      </c>
      <c r="D1488" s="36">
        <v>78.928700000000006</v>
      </c>
      <c r="E1488" s="36">
        <v>78.928700000000006</v>
      </c>
    </row>
    <row r="1489" spans="1:5" x14ac:dyDescent="0.3">
      <c r="A1489" s="1">
        <v>44972</v>
      </c>
      <c r="B1489" s="37">
        <v>79.055499999999995</v>
      </c>
      <c r="C1489" s="37">
        <v>79.055499999999995</v>
      </c>
      <c r="D1489" s="37">
        <v>79.055499999999995</v>
      </c>
      <c r="E1489" s="37">
        <v>79.055499999999995</v>
      </c>
    </row>
    <row r="1490" spans="1:5" x14ac:dyDescent="0.3">
      <c r="A1490" s="2">
        <v>44973</v>
      </c>
      <c r="B1490" s="36">
        <v>79.220100000000002</v>
      </c>
      <c r="C1490" s="36">
        <v>79.220100000000002</v>
      </c>
      <c r="D1490" s="36">
        <v>79.220100000000002</v>
      </c>
      <c r="E1490" s="36">
        <v>79.220100000000002</v>
      </c>
    </row>
    <row r="1491" spans="1:5" x14ac:dyDescent="0.3">
      <c r="A1491" s="1">
        <v>44974</v>
      </c>
      <c r="B1491" s="37">
        <v>79.385199999999998</v>
      </c>
      <c r="C1491" s="37">
        <v>79.385199999999998</v>
      </c>
      <c r="D1491" s="37">
        <v>79.385199999999998</v>
      </c>
      <c r="E1491" s="37">
        <v>79.385199999999998</v>
      </c>
    </row>
    <row r="1492" spans="1:5" x14ac:dyDescent="0.3">
      <c r="A1492" s="2">
        <v>44975</v>
      </c>
      <c r="B1492" s="36">
        <v>79.550600000000003</v>
      </c>
      <c r="C1492" s="36">
        <v>79.550600000000003</v>
      </c>
      <c r="D1492" s="36">
        <v>79.550600000000003</v>
      </c>
      <c r="E1492" s="36">
        <v>79.550600000000003</v>
      </c>
    </row>
    <row r="1493" spans="1:5" x14ac:dyDescent="0.3">
      <c r="A1493" s="1">
        <v>44976</v>
      </c>
      <c r="B1493" s="37">
        <v>79.716300000000004</v>
      </c>
      <c r="C1493" s="37">
        <v>79.716300000000004</v>
      </c>
      <c r="D1493" s="37">
        <v>79.716300000000004</v>
      </c>
      <c r="E1493" s="37">
        <v>79.716300000000004</v>
      </c>
    </row>
    <row r="1494" spans="1:5" x14ac:dyDescent="0.3">
      <c r="A1494" s="2">
        <v>44977</v>
      </c>
      <c r="B1494" s="36">
        <v>79.882300000000001</v>
      </c>
      <c r="C1494" s="36">
        <v>79.882300000000001</v>
      </c>
      <c r="D1494" s="36">
        <v>79.882300000000001</v>
      </c>
      <c r="E1494" s="36">
        <v>79.882300000000001</v>
      </c>
    </row>
    <row r="1495" spans="1:5" x14ac:dyDescent="0.3">
      <c r="A1495" s="1">
        <v>44978</v>
      </c>
      <c r="B1495" s="37">
        <v>80.048699999999997</v>
      </c>
      <c r="C1495" s="37">
        <v>80.048699999999997</v>
      </c>
      <c r="D1495" s="37">
        <v>80.048699999999997</v>
      </c>
      <c r="E1495" s="37">
        <v>80.048699999999997</v>
      </c>
    </row>
    <row r="1496" spans="1:5" x14ac:dyDescent="0.3">
      <c r="A1496" s="2">
        <v>44979</v>
      </c>
      <c r="B1496" s="36">
        <v>80.215500000000006</v>
      </c>
      <c r="C1496" s="36">
        <v>80.215500000000006</v>
      </c>
      <c r="D1496" s="36">
        <v>80.215500000000006</v>
      </c>
      <c r="E1496" s="36">
        <v>80.215500000000006</v>
      </c>
    </row>
    <row r="1497" spans="1:5" x14ac:dyDescent="0.3">
      <c r="A1497" s="1">
        <v>44980</v>
      </c>
      <c r="B1497" s="37">
        <v>80.382599999999996</v>
      </c>
      <c r="C1497" s="37">
        <v>80.382599999999996</v>
      </c>
      <c r="D1497" s="37">
        <v>80.382599999999996</v>
      </c>
      <c r="E1497" s="37">
        <v>80.382599999999996</v>
      </c>
    </row>
    <row r="1498" spans="1:5" x14ac:dyDescent="0.3">
      <c r="A1498" s="2">
        <v>44981</v>
      </c>
      <c r="B1498" s="36">
        <v>80.5501</v>
      </c>
      <c r="C1498" s="36">
        <v>80.5501</v>
      </c>
      <c r="D1498" s="36">
        <v>80.5501</v>
      </c>
      <c r="E1498" s="36">
        <v>80.5501</v>
      </c>
    </row>
    <row r="1499" spans="1:5" x14ac:dyDescent="0.3">
      <c r="A1499" s="1">
        <v>44982</v>
      </c>
      <c r="B1499" s="37">
        <v>80.7179</v>
      </c>
      <c r="C1499" s="37">
        <v>80.7179</v>
      </c>
      <c r="D1499" s="37">
        <v>80.7179</v>
      </c>
      <c r="E1499" s="37">
        <v>80.7179</v>
      </c>
    </row>
    <row r="1500" spans="1:5" x14ac:dyDescent="0.3">
      <c r="A1500" s="2">
        <v>44983</v>
      </c>
      <c r="B1500" s="36">
        <v>80.885999999999996</v>
      </c>
      <c r="C1500" s="36">
        <v>80.885999999999996</v>
      </c>
      <c r="D1500" s="36">
        <v>80.885999999999996</v>
      </c>
      <c r="E1500" s="36">
        <v>80.885999999999996</v>
      </c>
    </row>
    <row r="1501" spans="1:5" x14ac:dyDescent="0.3">
      <c r="A1501" s="1">
        <v>44984</v>
      </c>
      <c r="B1501" s="37">
        <v>81.054500000000004</v>
      </c>
      <c r="C1501" s="37">
        <v>81.054500000000004</v>
      </c>
      <c r="D1501" s="37">
        <v>81.054500000000004</v>
      </c>
      <c r="E1501" s="37">
        <v>81.054500000000004</v>
      </c>
    </row>
    <row r="1502" spans="1:5" x14ac:dyDescent="0.3">
      <c r="A1502" s="2">
        <v>44985</v>
      </c>
      <c r="B1502" s="36">
        <v>81.223399999999998</v>
      </c>
      <c r="C1502" s="36">
        <v>81.223399999999998</v>
      </c>
      <c r="D1502" s="36">
        <v>81.223399999999998</v>
      </c>
      <c r="E1502" s="36">
        <v>81.223399999999998</v>
      </c>
    </row>
    <row r="1503" spans="1:5" x14ac:dyDescent="0.3">
      <c r="A1503" s="1">
        <v>44986</v>
      </c>
      <c r="B1503" s="37">
        <v>81.392600000000002</v>
      </c>
      <c r="C1503" s="37">
        <v>81.392600000000002</v>
      </c>
      <c r="D1503" s="37">
        <v>81.392600000000002</v>
      </c>
      <c r="E1503" s="37">
        <v>81.392600000000002</v>
      </c>
    </row>
    <row r="1504" spans="1:5" x14ac:dyDescent="0.3">
      <c r="A1504" s="2">
        <v>44987</v>
      </c>
      <c r="B1504" s="36">
        <v>81.562100000000001</v>
      </c>
      <c r="C1504" s="36">
        <v>81.562100000000001</v>
      </c>
      <c r="D1504" s="36">
        <v>81.562100000000001</v>
      </c>
      <c r="E1504" s="36">
        <v>81.562100000000001</v>
      </c>
    </row>
    <row r="1505" spans="1:5" x14ac:dyDescent="0.3">
      <c r="A1505" s="1">
        <v>44988</v>
      </c>
      <c r="B1505" s="37">
        <v>81.731999999999999</v>
      </c>
      <c r="C1505" s="37">
        <v>81.731999999999999</v>
      </c>
      <c r="D1505" s="37">
        <v>81.731999999999999</v>
      </c>
      <c r="E1505" s="37">
        <v>81.731999999999999</v>
      </c>
    </row>
    <row r="1506" spans="1:5" x14ac:dyDescent="0.3">
      <c r="A1506" s="2">
        <v>44989</v>
      </c>
      <c r="B1506" s="36">
        <v>81.902299999999997</v>
      </c>
      <c r="C1506" s="36">
        <v>81.902299999999997</v>
      </c>
      <c r="D1506" s="36">
        <v>81.902299999999997</v>
      </c>
      <c r="E1506" s="36">
        <v>81.902299999999997</v>
      </c>
    </row>
    <row r="1507" spans="1:5" x14ac:dyDescent="0.3">
      <c r="A1507" s="1">
        <v>44990</v>
      </c>
      <c r="B1507" s="37">
        <v>82.072900000000004</v>
      </c>
      <c r="C1507" s="37">
        <v>82.072900000000004</v>
      </c>
      <c r="D1507" s="37">
        <v>82.072900000000004</v>
      </c>
      <c r="E1507" s="37">
        <v>82.072900000000004</v>
      </c>
    </row>
    <row r="1508" spans="1:5" x14ac:dyDescent="0.3">
      <c r="A1508" s="2">
        <v>44991</v>
      </c>
      <c r="B1508" s="36">
        <v>82.243899999999996</v>
      </c>
      <c r="C1508" s="36">
        <v>82.243899999999996</v>
      </c>
      <c r="D1508" s="36">
        <v>82.243899999999996</v>
      </c>
      <c r="E1508" s="36">
        <v>82.243899999999996</v>
      </c>
    </row>
    <row r="1509" spans="1:5" x14ac:dyDescent="0.3">
      <c r="A1509" s="1">
        <v>44992</v>
      </c>
      <c r="B1509" s="37">
        <v>82.415199999999999</v>
      </c>
      <c r="C1509" s="37">
        <v>82.415199999999999</v>
      </c>
      <c r="D1509" s="37">
        <v>82.415199999999999</v>
      </c>
      <c r="E1509" s="37">
        <v>82.415199999999999</v>
      </c>
    </row>
    <row r="1510" spans="1:5" x14ac:dyDescent="0.3">
      <c r="A1510" s="2">
        <v>44993</v>
      </c>
      <c r="B1510" s="36">
        <v>82.5869</v>
      </c>
      <c r="C1510" s="36">
        <v>82.5869</v>
      </c>
      <c r="D1510" s="36">
        <v>82.5869</v>
      </c>
      <c r="E1510" s="36">
        <v>82.5869</v>
      </c>
    </row>
    <row r="1511" spans="1:5" x14ac:dyDescent="0.3">
      <c r="A1511" s="1">
        <v>44994</v>
      </c>
      <c r="B1511" s="37">
        <v>82.759</v>
      </c>
      <c r="C1511" s="37">
        <v>82.759</v>
      </c>
      <c r="D1511" s="37">
        <v>82.759</v>
      </c>
      <c r="E1511" s="37">
        <v>82.759</v>
      </c>
    </row>
    <row r="1512" spans="1:5" x14ac:dyDescent="0.3">
      <c r="A1512" s="2">
        <v>44995</v>
      </c>
      <c r="B1512" s="36">
        <v>82.931399999999996</v>
      </c>
      <c r="C1512" s="36">
        <v>82.931399999999996</v>
      </c>
      <c r="D1512" s="36">
        <v>82.931399999999996</v>
      </c>
      <c r="E1512" s="36">
        <v>82.931399999999996</v>
      </c>
    </row>
    <row r="1513" spans="1:5" x14ac:dyDescent="0.3">
      <c r="A1513" s="1">
        <v>44996</v>
      </c>
      <c r="B1513" s="37">
        <v>83.104100000000003</v>
      </c>
      <c r="C1513" s="37">
        <v>83.104100000000003</v>
      </c>
      <c r="D1513" s="37">
        <v>83.104100000000003</v>
      </c>
      <c r="E1513" s="37">
        <v>83.104100000000003</v>
      </c>
    </row>
    <row r="1514" spans="1:5" x14ac:dyDescent="0.3">
      <c r="A1514" s="2">
        <v>44997</v>
      </c>
      <c r="B1514" s="36">
        <v>83.277199999999993</v>
      </c>
      <c r="C1514" s="36">
        <v>83.277199999999993</v>
      </c>
      <c r="D1514" s="36">
        <v>83.277199999999993</v>
      </c>
      <c r="E1514" s="36">
        <v>83.277199999999993</v>
      </c>
    </row>
    <row r="1515" spans="1:5" x14ac:dyDescent="0.3">
      <c r="A1515" s="1">
        <v>44998</v>
      </c>
      <c r="B1515" s="37">
        <v>83.450699999999998</v>
      </c>
      <c r="C1515" s="37">
        <v>83.450699999999998</v>
      </c>
      <c r="D1515" s="37">
        <v>83.450699999999998</v>
      </c>
      <c r="E1515" s="37">
        <v>83.450699999999998</v>
      </c>
    </row>
    <row r="1516" spans="1:5" x14ac:dyDescent="0.3">
      <c r="A1516" s="2">
        <v>44999</v>
      </c>
      <c r="B1516" s="36">
        <v>83.624600000000001</v>
      </c>
      <c r="C1516" s="36">
        <v>83.624600000000001</v>
      </c>
      <c r="D1516" s="36">
        <v>83.624600000000001</v>
      </c>
      <c r="E1516" s="36">
        <v>83.624600000000001</v>
      </c>
    </row>
    <row r="1517" spans="1:5" x14ac:dyDescent="0.3">
      <c r="A1517" s="1">
        <v>45000</v>
      </c>
      <c r="B1517" s="37">
        <v>83.7988</v>
      </c>
      <c r="C1517" s="37">
        <v>83.7988</v>
      </c>
      <c r="D1517" s="37">
        <v>83.7988</v>
      </c>
      <c r="E1517" s="37">
        <v>83.7988</v>
      </c>
    </row>
    <row r="1518" spans="1:5" x14ac:dyDescent="0.3">
      <c r="A1518" s="2">
        <v>45001</v>
      </c>
      <c r="B1518" s="36">
        <v>83.971699999999998</v>
      </c>
      <c r="C1518" s="36">
        <v>83.971699999999998</v>
      </c>
      <c r="D1518" s="36">
        <v>83.971699999999998</v>
      </c>
      <c r="E1518" s="36">
        <v>83.971699999999998</v>
      </c>
    </row>
    <row r="1519" spans="1:5" x14ac:dyDescent="0.3">
      <c r="A1519" s="1">
        <v>45002</v>
      </c>
      <c r="B1519" s="37">
        <v>84.144999999999996</v>
      </c>
      <c r="C1519" s="37">
        <v>84.144999999999996</v>
      </c>
      <c r="D1519" s="37">
        <v>84.144999999999996</v>
      </c>
      <c r="E1519" s="37">
        <v>84.144999999999996</v>
      </c>
    </row>
    <row r="1520" spans="1:5" x14ac:dyDescent="0.3">
      <c r="A1520" s="2">
        <v>45003</v>
      </c>
      <c r="B1520" s="36">
        <v>84.318700000000007</v>
      </c>
      <c r="C1520" s="36">
        <v>84.318700000000007</v>
      </c>
      <c r="D1520" s="36">
        <v>84.318700000000007</v>
      </c>
      <c r="E1520" s="36">
        <v>84.318700000000007</v>
      </c>
    </row>
    <row r="1521" spans="1:5" x14ac:dyDescent="0.3">
      <c r="A1521" s="1">
        <v>45004</v>
      </c>
      <c r="B1521" s="37">
        <v>84.492699999999999</v>
      </c>
      <c r="C1521" s="37">
        <v>84.492699999999999</v>
      </c>
      <c r="D1521" s="37">
        <v>84.492699999999999</v>
      </c>
      <c r="E1521" s="37">
        <v>84.492699999999999</v>
      </c>
    </row>
    <row r="1522" spans="1:5" x14ac:dyDescent="0.3">
      <c r="A1522" s="2">
        <v>45005</v>
      </c>
      <c r="B1522" s="36">
        <v>84.667100000000005</v>
      </c>
      <c r="C1522" s="36">
        <v>84.667100000000005</v>
      </c>
      <c r="D1522" s="36">
        <v>84.667100000000005</v>
      </c>
      <c r="E1522" s="36">
        <v>84.667100000000005</v>
      </c>
    </row>
    <row r="1523" spans="1:5" x14ac:dyDescent="0.3">
      <c r="A1523" s="1">
        <v>45006</v>
      </c>
      <c r="B1523" s="37">
        <v>84.841800000000006</v>
      </c>
      <c r="C1523" s="37">
        <v>84.841800000000006</v>
      </c>
      <c r="D1523" s="37">
        <v>84.841800000000006</v>
      </c>
      <c r="E1523" s="37">
        <v>84.841800000000006</v>
      </c>
    </row>
    <row r="1524" spans="1:5" x14ac:dyDescent="0.3">
      <c r="A1524" s="2">
        <v>45007</v>
      </c>
      <c r="B1524" s="36">
        <v>85.016900000000007</v>
      </c>
      <c r="C1524" s="36">
        <v>85.016900000000007</v>
      </c>
      <c r="D1524" s="36">
        <v>85.016900000000007</v>
      </c>
      <c r="E1524" s="36">
        <v>85.016900000000007</v>
      </c>
    </row>
    <row r="1525" spans="1:5" x14ac:dyDescent="0.3">
      <c r="A1525" s="1">
        <v>45008</v>
      </c>
      <c r="B1525" s="37">
        <v>85.192400000000006</v>
      </c>
      <c r="C1525" s="37">
        <v>85.192400000000006</v>
      </c>
      <c r="D1525" s="37">
        <v>85.192400000000006</v>
      </c>
      <c r="E1525" s="37">
        <v>85.192400000000006</v>
      </c>
    </row>
    <row r="1526" spans="1:5" x14ac:dyDescent="0.3">
      <c r="A1526" s="2">
        <v>45009</v>
      </c>
      <c r="B1526" s="36">
        <v>85.368200000000002</v>
      </c>
      <c r="C1526" s="36">
        <v>85.368200000000002</v>
      </c>
      <c r="D1526" s="36">
        <v>85.368200000000002</v>
      </c>
      <c r="E1526" s="36">
        <v>85.368200000000002</v>
      </c>
    </row>
    <row r="1527" spans="1:5" x14ac:dyDescent="0.3">
      <c r="A1527" s="1">
        <v>45010</v>
      </c>
      <c r="B1527" s="37">
        <v>85.544399999999996</v>
      </c>
      <c r="C1527" s="37">
        <v>85.544399999999996</v>
      </c>
      <c r="D1527" s="37">
        <v>85.544399999999996</v>
      </c>
      <c r="E1527" s="37">
        <v>85.544399999999996</v>
      </c>
    </row>
    <row r="1528" spans="1:5" x14ac:dyDescent="0.3">
      <c r="A1528" s="2">
        <v>45011</v>
      </c>
      <c r="B1528" s="36">
        <v>85.721000000000004</v>
      </c>
      <c r="C1528" s="36">
        <v>85.721000000000004</v>
      </c>
      <c r="D1528" s="36">
        <v>85.721000000000004</v>
      </c>
      <c r="E1528" s="36">
        <v>85.721000000000004</v>
      </c>
    </row>
    <row r="1529" spans="1:5" x14ac:dyDescent="0.3">
      <c r="A1529" s="1">
        <v>45012</v>
      </c>
      <c r="B1529" s="37">
        <v>85.897900000000007</v>
      </c>
      <c r="C1529" s="37">
        <v>85.897900000000007</v>
      </c>
      <c r="D1529" s="37">
        <v>85.897900000000007</v>
      </c>
      <c r="E1529" s="37">
        <v>85.897900000000007</v>
      </c>
    </row>
    <row r="1530" spans="1:5" x14ac:dyDescent="0.3">
      <c r="A1530" s="2">
        <v>45013</v>
      </c>
      <c r="B1530" s="36">
        <v>86.075199999999995</v>
      </c>
      <c r="C1530" s="36">
        <v>86.075199999999995</v>
      </c>
      <c r="D1530" s="36">
        <v>86.075199999999995</v>
      </c>
      <c r="E1530" s="36">
        <v>86.075199999999995</v>
      </c>
    </row>
    <row r="1531" spans="1:5" x14ac:dyDescent="0.3">
      <c r="A1531" s="1">
        <v>45014</v>
      </c>
      <c r="B1531" s="37">
        <v>86.252799999999993</v>
      </c>
      <c r="C1531" s="37">
        <v>86.252799999999993</v>
      </c>
      <c r="D1531" s="37">
        <v>86.252799999999993</v>
      </c>
      <c r="E1531" s="37">
        <v>86.252799999999993</v>
      </c>
    </row>
    <row r="1532" spans="1:5" x14ac:dyDescent="0.3">
      <c r="A1532" s="2">
        <v>45015</v>
      </c>
      <c r="B1532" s="36">
        <v>86.430800000000005</v>
      </c>
      <c r="C1532" s="36">
        <v>86.430800000000005</v>
      </c>
      <c r="D1532" s="36">
        <v>86.430800000000005</v>
      </c>
      <c r="E1532" s="36">
        <v>86.430800000000005</v>
      </c>
    </row>
    <row r="1533" spans="1:5" x14ac:dyDescent="0.3">
      <c r="A1533" s="1">
        <v>45016</v>
      </c>
      <c r="B1533" s="37">
        <v>86.609200000000001</v>
      </c>
      <c r="C1533" s="37">
        <v>86.609200000000001</v>
      </c>
      <c r="D1533" s="37">
        <v>86.609200000000001</v>
      </c>
      <c r="E1533" s="37">
        <v>86.609200000000001</v>
      </c>
    </row>
    <row r="1534" spans="1:5" x14ac:dyDescent="0.3">
      <c r="A1534" s="2">
        <v>45017</v>
      </c>
      <c r="B1534" s="36">
        <v>86.787899999999993</v>
      </c>
      <c r="C1534" s="36">
        <v>86.787899999999993</v>
      </c>
      <c r="D1534" s="36">
        <v>86.787899999999993</v>
      </c>
      <c r="E1534" s="36">
        <v>86.787899999999993</v>
      </c>
    </row>
    <row r="1535" spans="1:5" x14ac:dyDescent="0.3">
      <c r="A1535" s="1">
        <v>45018</v>
      </c>
      <c r="B1535" s="37">
        <v>86.967100000000002</v>
      </c>
      <c r="C1535" s="37">
        <v>86.967100000000002</v>
      </c>
      <c r="D1535" s="37">
        <v>86.967100000000002</v>
      </c>
      <c r="E1535" s="37">
        <v>86.967100000000002</v>
      </c>
    </row>
    <row r="1536" spans="1:5" x14ac:dyDescent="0.3">
      <c r="A1536" s="2">
        <v>45019</v>
      </c>
      <c r="B1536" s="36">
        <v>87.146500000000003</v>
      </c>
      <c r="C1536" s="36">
        <v>87.146500000000003</v>
      </c>
      <c r="D1536" s="36">
        <v>87.146500000000003</v>
      </c>
      <c r="E1536" s="36">
        <v>87.146500000000003</v>
      </c>
    </row>
    <row r="1537" spans="1:5" x14ac:dyDescent="0.3">
      <c r="A1537" s="1">
        <v>45020</v>
      </c>
      <c r="B1537" s="37">
        <v>87.326400000000007</v>
      </c>
      <c r="C1537" s="37">
        <v>87.326400000000007</v>
      </c>
      <c r="D1537" s="37">
        <v>87.326400000000007</v>
      </c>
      <c r="E1537" s="37">
        <v>87.326400000000007</v>
      </c>
    </row>
    <row r="1538" spans="1:5" x14ac:dyDescent="0.3">
      <c r="A1538" s="2">
        <v>45021</v>
      </c>
      <c r="B1538" s="36">
        <v>87.506600000000006</v>
      </c>
      <c r="C1538" s="36">
        <v>87.506600000000006</v>
      </c>
      <c r="D1538" s="36">
        <v>87.506600000000006</v>
      </c>
      <c r="E1538" s="36">
        <v>87.506600000000006</v>
      </c>
    </row>
    <row r="1539" spans="1:5" x14ac:dyDescent="0.3">
      <c r="A1539" s="1">
        <v>45022</v>
      </c>
      <c r="B1539" s="37">
        <v>87.687200000000004</v>
      </c>
      <c r="C1539" s="37">
        <v>87.687200000000004</v>
      </c>
      <c r="D1539" s="37">
        <v>87.687200000000004</v>
      </c>
      <c r="E1539" s="37">
        <v>87.687200000000004</v>
      </c>
    </row>
    <row r="1540" spans="1:5" x14ac:dyDescent="0.3">
      <c r="A1540" s="2">
        <v>45023</v>
      </c>
      <c r="B1540" s="36">
        <v>87.868200000000002</v>
      </c>
      <c r="C1540" s="36">
        <v>87.868200000000002</v>
      </c>
      <c r="D1540" s="36">
        <v>87.868200000000002</v>
      </c>
      <c r="E1540" s="36">
        <v>87.868200000000002</v>
      </c>
    </row>
    <row r="1541" spans="1:5" x14ac:dyDescent="0.3">
      <c r="A1541" s="1">
        <v>45024</v>
      </c>
      <c r="B1541" s="37">
        <v>88.049599999999998</v>
      </c>
      <c r="C1541" s="37">
        <v>88.049599999999998</v>
      </c>
      <c r="D1541" s="37">
        <v>88.049599999999998</v>
      </c>
      <c r="E1541" s="37">
        <v>88.049599999999998</v>
      </c>
    </row>
    <row r="1542" spans="1:5" x14ac:dyDescent="0.3">
      <c r="A1542" s="2">
        <v>45025</v>
      </c>
      <c r="B1542" s="36">
        <v>88.231300000000005</v>
      </c>
      <c r="C1542" s="36">
        <v>88.231300000000005</v>
      </c>
      <c r="D1542" s="36">
        <v>88.231300000000005</v>
      </c>
      <c r="E1542" s="36">
        <v>88.231300000000005</v>
      </c>
    </row>
    <row r="1543" spans="1:5" x14ac:dyDescent="0.3">
      <c r="A1543" s="1">
        <v>45026</v>
      </c>
      <c r="B1543" s="37">
        <v>88.413399999999996</v>
      </c>
      <c r="C1543" s="37">
        <v>88.413399999999996</v>
      </c>
      <c r="D1543" s="37">
        <v>88.413399999999996</v>
      </c>
      <c r="E1543" s="37">
        <v>88.413399999999996</v>
      </c>
    </row>
    <row r="1544" spans="1:5" x14ac:dyDescent="0.3">
      <c r="A1544" s="2">
        <v>45027</v>
      </c>
      <c r="B1544" s="36">
        <v>88.595799999999997</v>
      </c>
      <c r="C1544" s="36">
        <v>88.595799999999997</v>
      </c>
      <c r="D1544" s="36">
        <v>88.595799999999997</v>
      </c>
      <c r="E1544" s="36">
        <v>88.595799999999997</v>
      </c>
    </row>
    <row r="1545" spans="1:5" x14ac:dyDescent="0.3">
      <c r="A1545" s="1">
        <v>45028</v>
      </c>
      <c r="B1545" s="37">
        <v>88.778700000000001</v>
      </c>
      <c r="C1545" s="37">
        <v>88.778700000000001</v>
      </c>
      <c r="D1545" s="37">
        <v>88.778700000000001</v>
      </c>
      <c r="E1545" s="37">
        <v>88.778700000000001</v>
      </c>
    </row>
    <row r="1546" spans="1:5" x14ac:dyDescent="0.3">
      <c r="A1546" s="2">
        <v>45029</v>
      </c>
      <c r="B1546" s="36">
        <v>88.9619</v>
      </c>
      <c r="C1546" s="36">
        <v>88.9619</v>
      </c>
      <c r="D1546" s="36">
        <v>88.9619</v>
      </c>
      <c r="E1546" s="36">
        <v>88.9619</v>
      </c>
    </row>
    <row r="1547" spans="1:5" x14ac:dyDescent="0.3">
      <c r="A1547" s="1">
        <v>45030</v>
      </c>
      <c r="B1547" s="37">
        <v>89.145499999999998</v>
      </c>
      <c r="C1547" s="37">
        <v>89.145499999999998</v>
      </c>
      <c r="D1547" s="37">
        <v>89.145499999999998</v>
      </c>
      <c r="E1547" s="37">
        <v>89.145499999999998</v>
      </c>
    </row>
    <row r="1548" spans="1:5" x14ac:dyDescent="0.3">
      <c r="A1548" s="2">
        <v>45031</v>
      </c>
      <c r="B1548" s="36">
        <v>89.329499999999996</v>
      </c>
      <c r="C1548" s="36">
        <v>89.329499999999996</v>
      </c>
      <c r="D1548" s="36">
        <v>89.329499999999996</v>
      </c>
      <c r="E1548" s="36">
        <v>89.329499999999996</v>
      </c>
    </row>
    <row r="1549" spans="1:5" x14ac:dyDescent="0.3">
      <c r="A1549" s="1">
        <v>45032</v>
      </c>
      <c r="B1549" s="37">
        <v>89.550700000000006</v>
      </c>
      <c r="C1549" s="37">
        <v>89.550700000000006</v>
      </c>
      <c r="D1549" s="37">
        <v>89.550700000000006</v>
      </c>
      <c r="E1549" s="37">
        <v>89.550700000000006</v>
      </c>
    </row>
    <row r="1550" spans="1:5" x14ac:dyDescent="0.3">
      <c r="A1550" s="2">
        <v>45033</v>
      </c>
      <c r="B1550" s="36">
        <v>89.772400000000005</v>
      </c>
      <c r="C1550" s="36">
        <v>89.772400000000005</v>
      </c>
      <c r="D1550" s="36">
        <v>89.772400000000005</v>
      </c>
      <c r="E1550" s="36">
        <v>89.772400000000005</v>
      </c>
    </row>
    <row r="1551" spans="1:5" x14ac:dyDescent="0.3">
      <c r="A1551" s="1">
        <v>45034</v>
      </c>
      <c r="B1551" s="37">
        <v>89.994600000000005</v>
      </c>
      <c r="C1551" s="37">
        <v>89.994600000000005</v>
      </c>
      <c r="D1551" s="37">
        <v>89.994600000000005</v>
      </c>
      <c r="E1551" s="37">
        <v>89.994600000000005</v>
      </c>
    </row>
    <row r="1552" spans="1:5" x14ac:dyDescent="0.3">
      <c r="A1552" s="2">
        <v>45035</v>
      </c>
      <c r="B1552" s="36">
        <v>90.217399999999998</v>
      </c>
      <c r="C1552" s="36">
        <v>90.217399999999998</v>
      </c>
      <c r="D1552" s="36">
        <v>90.217399999999998</v>
      </c>
      <c r="E1552" s="36">
        <v>90.217399999999998</v>
      </c>
    </row>
    <row r="1553" spans="1:5" x14ac:dyDescent="0.3">
      <c r="A1553" s="1">
        <v>45036</v>
      </c>
      <c r="B1553" s="37">
        <v>90.440799999999996</v>
      </c>
      <c r="C1553" s="37">
        <v>90.440799999999996</v>
      </c>
      <c r="D1553" s="37">
        <v>90.440799999999996</v>
      </c>
      <c r="E1553" s="37">
        <v>90.440799999999996</v>
      </c>
    </row>
    <row r="1554" spans="1:5" x14ac:dyDescent="0.3">
      <c r="A1554" s="2">
        <v>45037</v>
      </c>
      <c r="B1554" s="36">
        <v>90.664699999999996</v>
      </c>
      <c r="C1554" s="36">
        <v>90.664699999999996</v>
      </c>
      <c r="D1554" s="36">
        <v>90.664699999999996</v>
      </c>
      <c r="E1554" s="36">
        <v>90.664699999999996</v>
      </c>
    </row>
    <row r="1555" spans="1:5" x14ac:dyDescent="0.3">
      <c r="A1555" s="1">
        <v>45038</v>
      </c>
      <c r="B1555" s="37">
        <v>90.889099999999999</v>
      </c>
      <c r="C1555" s="37">
        <v>90.889099999999999</v>
      </c>
      <c r="D1555" s="37">
        <v>90.889099999999999</v>
      </c>
      <c r="E1555" s="37">
        <v>90.889099999999999</v>
      </c>
    </row>
    <row r="1556" spans="1:5" x14ac:dyDescent="0.3">
      <c r="A1556" s="2">
        <v>45039</v>
      </c>
      <c r="B1556" s="36">
        <v>91.114099999999993</v>
      </c>
      <c r="C1556" s="36">
        <v>91.114099999999993</v>
      </c>
      <c r="D1556" s="36">
        <v>91.114099999999993</v>
      </c>
      <c r="E1556" s="36">
        <v>91.114099999999993</v>
      </c>
    </row>
    <row r="1557" spans="1:5" x14ac:dyDescent="0.3">
      <c r="A1557" s="1">
        <v>45040</v>
      </c>
      <c r="B1557" s="37">
        <v>91.339699999999993</v>
      </c>
      <c r="C1557" s="37">
        <v>91.339699999999993</v>
      </c>
      <c r="D1557" s="37">
        <v>91.339699999999993</v>
      </c>
      <c r="E1557" s="37">
        <v>91.339699999999993</v>
      </c>
    </row>
    <row r="1558" spans="1:5" x14ac:dyDescent="0.3">
      <c r="A1558" s="2">
        <v>45041</v>
      </c>
      <c r="B1558" s="36">
        <v>91.565799999999996</v>
      </c>
      <c r="C1558" s="36">
        <v>91.565799999999996</v>
      </c>
      <c r="D1558" s="36">
        <v>91.565799999999996</v>
      </c>
      <c r="E1558" s="36">
        <v>91.565799999999996</v>
      </c>
    </row>
    <row r="1559" spans="1:5" x14ac:dyDescent="0.3">
      <c r="A1559" s="1">
        <v>45042</v>
      </c>
      <c r="B1559" s="37">
        <v>91.792500000000004</v>
      </c>
      <c r="C1559" s="37">
        <v>91.792500000000004</v>
      </c>
      <c r="D1559" s="37">
        <v>91.792500000000004</v>
      </c>
      <c r="E1559" s="37">
        <v>91.792500000000004</v>
      </c>
    </row>
    <row r="1560" spans="1:5" x14ac:dyDescent="0.3">
      <c r="A1560" s="2">
        <v>45043</v>
      </c>
      <c r="B1560" s="36">
        <v>92.019800000000004</v>
      </c>
      <c r="C1560" s="36">
        <v>92.019800000000004</v>
      </c>
      <c r="D1560" s="36">
        <v>92.019800000000004</v>
      </c>
      <c r="E1560" s="36">
        <v>92.019800000000004</v>
      </c>
    </row>
    <row r="1561" spans="1:5" x14ac:dyDescent="0.3">
      <c r="A1561" s="1">
        <v>45044</v>
      </c>
      <c r="B1561" s="37">
        <v>92.247600000000006</v>
      </c>
      <c r="C1561" s="37">
        <v>92.247600000000006</v>
      </c>
      <c r="D1561" s="37">
        <v>92.247600000000006</v>
      </c>
      <c r="E1561" s="37">
        <v>92.247600000000006</v>
      </c>
    </row>
    <row r="1562" spans="1:5" x14ac:dyDescent="0.3">
      <c r="A1562" s="2">
        <v>45045</v>
      </c>
      <c r="B1562" s="36">
        <v>92.475999999999999</v>
      </c>
      <c r="C1562" s="36">
        <v>92.475999999999999</v>
      </c>
      <c r="D1562" s="36">
        <v>92.475999999999999</v>
      </c>
      <c r="E1562" s="36">
        <v>92.475999999999999</v>
      </c>
    </row>
    <row r="1563" spans="1:5" x14ac:dyDescent="0.3">
      <c r="A1563" s="1">
        <v>45046</v>
      </c>
      <c r="B1563" s="37">
        <v>92.704899999999995</v>
      </c>
      <c r="C1563" s="37">
        <v>92.704899999999995</v>
      </c>
      <c r="D1563" s="37">
        <v>92.704899999999995</v>
      </c>
      <c r="E1563" s="37">
        <v>92.704899999999995</v>
      </c>
    </row>
    <row r="1564" spans="1:5" x14ac:dyDescent="0.3">
      <c r="A1564" s="2">
        <v>45047</v>
      </c>
      <c r="B1564" s="36">
        <v>92.934399999999997</v>
      </c>
      <c r="C1564" s="36">
        <v>92.934399999999997</v>
      </c>
      <c r="D1564" s="36">
        <v>92.934399999999997</v>
      </c>
      <c r="E1564" s="36">
        <v>92.934399999999997</v>
      </c>
    </row>
    <row r="1565" spans="1:5" x14ac:dyDescent="0.3">
      <c r="A1565" s="1">
        <v>45048</v>
      </c>
      <c r="B1565" s="37">
        <v>93.164500000000004</v>
      </c>
      <c r="C1565" s="37">
        <v>93.164500000000004</v>
      </c>
      <c r="D1565" s="37">
        <v>93.164500000000004</v>
      </c>
      <c r="E1565" s="37">
        <v>93.164500000000004</v>
      </c>
    </row>
    <row r="1566" spans="1:5" x14ac:dyDescent="0.3">
      <c r="A1566" s="2">
        <v>45049</v>
      </c>
      <c r="B1566" s="36">
        <v>93.395200000000003</v>
      </c>
      <c r="C1566" s="36">
        <v>93.395200000000003</v>
      </c>
      <c r="D1566" s="36">
        <v>93.395200000000003</v>
      </c>
      <c r="E1566" s="36">
        <v>93.395200000000003</v>
      </c>
    </row>
    <row r="1567" spans="1:5" x14ac:dyDescent="0.3">
      <c r="A1567" s="1">
        <v>45050</v>
      </c>
      <c r="B1567" s="37">
        <v>93.626400000000004</v>
      </c>
      <c r="C1567" s="37">
        <v>93.626400000000004</v>
      </c>
      <c r="D1567" s="37">
        <v>93.626400000000004</v>
      </c>
      <c r="E1567" s="37">
        <v>93.626400000000004</v>
      </c>
    </row>
    <row r="1568" spans="1:5" x14ac:dyDescent="0.3">
      <c r="A1568" s="2">
        <v>45051</v>
      </c>
      <c r="B1568" s="36">
        <v>93.858199999999997</v>
      </c>
      <c r="C1568" s="36">
        <v>93.858199999999997</v>
      </c>
      <c r="D1568" s="36">
        <v>93.858199999999997</v>
      </c>
      <c r="E1568" s="36">
        <v>93.858199999999997</v>
      </c>
    </row>
    <row r="1569" spans="1:5" x14ac:dyDescent="0.3">
      <c r="A1569" s="1">
        <v>45052</v>
      </c>
      <c r="B1569" s="37">
        <v>94.090500000000006</v>
      </c>
      <c r="C1569" s="37">
        <v>94.090500000000006</v>
      </c>
      <c r="D1569" s="37">
        <v>94.090500000000006</v>
      </c>
      <c r="E1569" s="37">
        <v>94.090500000000006</v>
      </c>
    </row>
    <row r="1570" spans="1:5" x14ac:dyDescent="0.3">
      <c r="A1570" s="2">
        <v>45053</v>
      </c>
      <c r="B1570" s="36">
        <v>94.323499999999996</v>
      </c>
      <c r="C1570" s="36">
        <v>94.323499999999996</v>
      </c>
      <c r="D1570" s="36">
        <v>94.323499999999996</v>
      </c>
      <c r="E1570" s="36">
        <v>94.323499999999996</v>
      </c>
    </row>
    <row r="1571" spans="1:5" x14ac:dyDescent="0.3">
      <c r="A1571" s="1">
        <v>45054</v>
      </c>
      <c r="B1571" s="37">
        <v>94.557000000000002</v>
      </c>
      <c r="C1571" s="37">
        <v>94.557000000000002</v>
      </c>
      <c r="D1571" s="37">
        <v>94.557000000000002</v>
      </c>
      <c r="E1571" s="37">
        <v>94.557000000000002</v>
      </c>
    </row>
    <row r="1572" spans="1:5" x14ac:dyDescent="0.3">
      <c r="A1572" s="2">
        <v>45055</v>
      </c>
      <c r="B1572" s="36">
        <v>94.7911</v>
      </c>
      <c r="C1572" s="36">
        <v>94.7911</v>
      </c>
      <c r="D1572" s="36">
        <v>94.7911</v>
      </c>
      <c r="E1572" s="36">
        <v>94.7911</v>
      </c>
    </row>
    <row r="1573" spans="1:5" x14ac:dyDescent="0.3">
      <c r="A1573" s="1">
        <v>45056</v>
      </c>
      <c r="B1573" s="37">
        <v>95.025800000000004</v>
      </c>
      <c r="C1573" s="37">
        <v>95.025800000000004</v>
      </c>
      <c r="D1573" s="37">
        <v>95.025800000000004</v>
      </c>
      <c r="E1573" s="37">
        <v>95.025800000000004</v>
      </c>
    </row>
    <row r="1574" spans="1:5" x14ac:dyDescent="0.3">
      <c r="A1574" s="2">
        <v>45057</v>
      </c>
      <c r="B1574" s="36">
        <v>95.260999999999996</v>
      </c>
      <c r="C1574" s="36">
        <v>95.260999999999996</v>
      </c>
      <c r="D1574" s="36">
        <v>95.260999999999996</v>
      </c>
      <c r="E1574" s="36">
        <v>95.260999999999996</v>
      </c>
    </row>
    <row r="1575" spans="1:5" x14ac:dyDescent="0.3">
      <c r="A1575" s="1">
        <v>45058</v>
      </c>
      <c r="B1575" s="37">
        <v>95.496899999999997</v>
      </c>
      <c r="C1575" s="37">
        <v>95.496899999999997</v>
      </c>
      <c r="D1575" s="37">
        <v>95.496899999999997</v>
      </c>
      <c r="E1575" s="37">
        <v>95.496899999999997</v>
      </c>
    </row>
    <row r="1576" spans="1:5" x14ac:dyDescent="0.3">
      <c r="A1576" s="2">
        <v>45059</v>
      </c>
      <c r="B1576" s="36">
        <v>95.7333</v>
      </c>
      <c r="C1576" s="36">
        <v>95.7333</v>
      </c>
      <c r="D1576" s="36">
        <v>95.7333</v>
      </c>
      <c r="E1576" s="36">
        <v>95.7333</v>
      </c>
    </row>
    <row r="1577" spans="1:5" x14ac:dyDescent="0.3">
      <c r="A1577" s="1">
        <v>45060</v>
      </c>
      <c r="B1577" s="37">
        <v>95.970299999999995</v>
      </c>
      <c r="C1577" s="37">
        <v>95.970299999999995</v>
      </c>
      <c r="D1577" s="37">
        <v>95.970299999999995</v>
      </c>
      <c r="E1577" s="37">
        <v>95.970299999999995</v>
      </c>
    </row>
    <row r="1578" spans="1:5" x14ac:dyDescent="0.3">
      <c r="A1578" s="2">
        <v>45061</v>
      </c>
      <c r="B1578" s="36">
        <v>96.207899999999995</v>
      </c>
      <c r="C1578" s="36">
        <v>96.207899999999995</v>
      </c>
      <c r="D1578" s="36">
        <v>96.207899999999995</v>
      </c>
      <c r="E1578" s="36">
        <v>96.207899999999995</v>
      </c>
    </row>
    <row r="1579" spans="1:5" x14ac:dyDescent="0.3">
      <c r="A1579" s="1">
        <v>45062</v>
      </c>
      <c r="B1579" s="37">
        <v>96.458500000000001</v>
      </c>
      <c r="C1579" s="37">
        <v>96.458500000000001</v>
      </c>
      <c r="D1579" s="37">
        <v>96.458500000000001</v>
      </c>
      <c r="E1579" s="37">
        <v>96.458500000000001</v>
      </c>
    </row>
    <row r="1580" spans="1:5" x14ac:dyDescent="0.3">
      <c r="A1580" s="2">
        <v>45063</v>
      </c>
      <c r="B1580" s="36">
        <v>96.709800000000001</v>
      </c>
      <c r="C1580" s="36">
        <v>96.709800000000001</v>
      </c>
      <c r="D1580" s="36">
        <v>96.709800000000001</v>
      </c>
      <c r="E1580" s="36">
        <v>96.709800000000001</v>
      </c>
    </row>
    <row r="1581" spans="1:5" x14ac:dyDescent="0.3">
      <c r="A1581" s="1">
        <v>45064</v>
      </c>
      <c r="B1581" s="37">
        <v>96.961799999999997</v>
      </c>
      <c r="C1581" s="37">
        <v>96.961799999999997</v>
      </c>
      <c r="D1581" s="37">
        <v>96.961799999999997</v>
      </c>
      <c r="E1581" s="37">
        <v>96.961799999999997</v>
      </c>
    </row>
    <row r="1582" spans="1:5" x14ac:dyDescent="0.3">
      <c r="A1582" s="2">
        <v>45065</v>
      </c>
      <c r="B1582" s="36">
        <v>97.214399999999998</v>
      </c>
      <c r="C1582" s="36">
        <v>97.214399999999998</v>
      </c>
      <c r="D1582" s="36">
        <v>97.214399999999998</v>
      </c>
      <c r="E1582" s="36">
        <v>97.214399999999998</v>
      </c>
    </row>
    <row r="1583" spans="1:5" x14ac:dyDescent="0.3">
      <c r="A1583" s="1">
        <v>45066</v>
      </c>
      <c r="B1583" s="37">
        <v>97.467699999999994</v>
      </c>
      <c r="C1583" s="37">
        <v>97.467699999999994</v>
      </c>
      <c r="D1583" s="37">
        <v>97.467699999999994</v>
      </c>
      <c r="E1583" s="37">
        <v>97.467699999999994</v>
      </c>
    </row>
    <row r="1584" spans="1:5" x14ac:dyDescent="0.3">
      <c r="A1584" s="2">
        <v>45067</v>
      </c>
      <c r="B1584" s="36">
        <v>97.721599999999995</v>
      </c>
      <c r="C1584" s="36">
        <v>97.721599999999995</v>
      </c>
      <c r="D1584" s="36">
        <v>97.721599999999995</v>
      </c>
      <c r="E1584" s="36">
        <v>97.721599999999995</v>
      </c>
    </row>
    <row r="1585" spans="1:5" x14ac:dyDescent="0.3">
      <c r="A1585" s="1">
        <v>45068</v>
      </c>
      <c r="B1585" s="37">
        <v>97.976200000000006</v>
      </c>
      <c r="C1585" s="37">
        <v>97.976200000000006</v>
      </c>
      <c r="D1585" s="37">
        <v>97.976200000000006</v>
      </c>
      <c r="E1585" s="37">
        <v>97.976200000000006</v>
      </c>
    </row>
    <row r="1586" spans="1:5" x14ac:dyDescent="0.3">
      <c r="A1586" s="2">
        <v>45069</v>
      </c>
      <c r="B1586" s="36">
        <v>98.231399999999994</v>
      </c>
      <c r="C1586" s="36">
        <v>98.231399999999994</v>
      </c>
      <c r="D1586" s="36">
        <v>98.231399999999994</v>
      </c>
      <c r="E1586" s="36">
        <v>98.231399999999994</v>
      </c>
    </row>
    <row r="1587" spans="1:5" x14ac:dyDescent="0.3">
      <c r="A1587" s="1">
        <v>45070</v>
      </c>
      <c r="B1587" s="37">
        <v>98.487300000000005</v>
      </c>
      <c r="C1587" s="37">
        <v>98.487300000000005</v>
      </c>
      <c r="D1587" s="37">
        <v>98.487300000000005</v>
      </c>
      <c r="E1587" s="37">
        <v>98.487300000000005</v>
      </c>
    </row>
    <row r="1588" spans="1:5" x14ac:dyDescent="0.3">
      <c r="A1588" s="2">
        <v>45071</v>
      </c>
      <c r="B1588" s="36">
        <v>98.743899999999996</v>
      </c>
      <c r="C1588" s="36">
        <v>98.743899999999996</v>
      </c>
      <c r="D1588" s="36">
        <v>98.743899999999996</v>
      </c>
      <c r="E1588" s="36">
        <v>98.743899999999996</v>
      </c>
    </row>
    <row r="1589" spans="1:5" x14ac:dyDescent="0.3">
      <c r="A1589" s="1">
        <v>45072</v>
      </c>
      <c r="B1589" s="37">
        <v>99.001199999999997</v>
      </c>
      <c r="C1589" s="37">
        <v>99.001199999999997</v>
      </c>
      <c r="D1589" s="37">
        <v>99.001199999999997</v>
      </c>
      <c r="E1589" s="37">
        <v>99.001199999999997</v>
      </c>
    </row>
    <row r="1590" spans="1:5" x14ac:dyDescent="0.3">
      <c r="A1590" s="2">
        <v>45073</v>
      </c>
      <c r="B1590" s="36">
        <v>99.259100000000004</v>
      </c>
      <c r="C1590" s="36">
        <v>99.259100000000004</v>
      </c>
      <c r="D1590" s="36">
        <v>99.259100000000004</v>
      </c>
      <c r="E1590" s="36">
        <v>99.259100000000004</v>
      </c>
    </row>
    <row r="1591" spans="1:5" x14ac:dyDescent="0.3">
      <c r="A1591" s="1">
        <v>45074</v>
      </c>
      <c r="B1591" s="37">
        <v>99.517700000000005</v>
      </c>
      <c r="C1591" s="37">
        <v>99.517700000000005</v>
      </c>
      <c r="D1591" s="37">
        <v>99.517700000000005</v>
      </c>
      <c r="E1591" s="37">
        <v>99.517700000000005</v>
      </c>
    </row>
    <row r="1592" spans="1:5" x14ac:dyDescent="0.3">
      <c r="A1592" s="2">
        <v>45075</v>
      </c>
      <c r="B1592" s="36">
        <v>99.777000000000001</v>
      </c>
      <c r="C1592" s="36">
        <v>99.777000000000001</v>
      </c>
      <c r="D1592" s="36">
        <v>99.777000000000001</v>
      </c>
      <c r="E1592" s="36">
        <v>99.777000000000001</v>
      </c>
    </row>
    <row r="1593" spans="1:5" x14ac:dyDescent="0.3">
      <c r="A1593" s="1">
        <v>45076</v>
      </c>
      <c r="B1593" s="37">
        <v>100.0369</v>
      </c>
      <c r="C1593" s="37">
        <v>100.0369</v>
      </c>
      <c r="D1593" s="37">
        <v>100.0369</v>
      </c>
      <c r="E1593" s="37">
        <v>100.0369</v>
      </c>
    </row>
    <row r="1594" spans="1:5" x14ac:dyDescent="0.3">
      <c r="A1594" s="2">
        <v>45077</v>
      </c>
      <c r="B1594" s="36">
        <v>100.2975</v>
      </c>
      <c r="C1594" s="36">
        <v>100.2975</v>
      </c>
      <c r="D1594" s="36">
        <v>100.2975</v>
      </c>
      <c r="E1594" s="36">
        <v>100.2975</v>
      </c>
    </row>
    <row r="1595" spans="1:5" x14ac:dyDescent="0.3">
      <c r="A1595" s="1">
        <v>45078</v>
      </c>
      <c r="B1595" s="37">
        <v>100.55880000000001</v>
      </c>
      <c r="C1595" s="37">
        <v>100.55880000000001</v>
      </c>
      <c r="D1595" s="37">
        <v>100.55880000000001</v>
      </c>
      <c r="E1595" s="37">
        <v>100.55880000000001</v>
      </c>
    </row>
    <row r="1596" spans="1:5" x14ac:dyDescent="0.3">
      <c r="A1596" s="2">
        <v>45079</v>
      </c>
      <c r="B1596" s="36">
        <v>100.82080000000001</v>
      </c>
      <c r="C1596" s="36">
        <v>100.82080000000001</v>
      </c>
      <c r="D1596" s="36">
        <v>100.82080000000001</v>
      </c>
      <c r="E1596" s="36">
        <v>100.82080000000001</v>
      </c>
    </row>
    <row r="1597" spans="1:5" x14ac:dyDescent="0.3">
      <c r="A1597" s="1">
        <v>45080</v>
      </c>
      <c r="B1597" s="37">
        <v>101.0835</v>
      </c>
      <c r="C1597" s="37">
        <v>101.0835</v>
      </c>
      <c r="D1597" s="37">
        <v>101.0835</v>
      </c>
      <c r="E1597" s="37">
        <v>101.0835</v>
      </c>
    </row>
    <row r="1598" spans="1:5" x14ac:dyDescent="0.3">
      <c r="A1598" s="2">
        <v>45081</v>
      </c>
      <c r="B1598" s="36">
        <v>101.3468</v>
      </c>
      <c r="C1598" s="36">
        <v>101.3468</v>
      </c>
      <c r="D1598" s="36">
        <v>101.3468</v>
      </c>
      <c r="E1598" s="36">
        <v>101.3468</v>
      </c>
    </row>
    <row r="1599" spans="1:5" x14ac:dyDescent="0.3">
      <c r="A1599" s="1">
        <v>45082</v>
      </c>
      <c r="B1599" s="37">
        <v>101.6109</v>
      </c>
      <c r="C1599" s="37">
        <v>101.6109</v>
      </c>
      <c r="D1599" s="37">
        <v>101.6109</v>
      </c>
      <c r="E1599" s="37">
        <v>101.6109</v>
      </c>
    </row>
    <row r="1600" spans="1:5" x14ac:dyDescent="0.3">
      <c r="A1600" s="2">
        <v>45083</v>
      </c>
      <c r="B1600" s="36">
        <v>101.87560000000001</v>
      </c>
      <c r="C1600" s="36">
        <v>101.87560000000001</v>
      </c>
      <c r="D1600" s="36">
        <v>101.87560000000001</v>
      </c>
      <c r="E1600" s="36">
        <v>101.87560000000001</v>
      </c>
    </row>
    <row r="1601" spans="1:5" x14ac:dyDescent="0.3">
      <c r="A1601" s="1">
        <v>45084</v>
      </c>
      <c r="B1601" s="37">
        <v>102.14100000000001</v>
      </c>
      <c r="C1601" s="37">
        <v>102.14100000000001</v>
      </c>
      <c r="D1601" s="37">
        <v>102.14100000000001</v>
      </c>
      <c r="E1601" s="37">
        <v>102.14100000000001</v>
      </c>
    </row>
    <row r="1602" spans="1:5" x14ac:dyDescent="0.3">
      <c r="A1602" s="2">
        <v>45085</v>
      </c>
      <c r="B1602" s="36">
        <v>102.4071</v>
      </c>
      <c r="C1602" s="36">
        <v>102.4071</v>
      </c>
      <c r="D1602" s="36">
        <v>102.4071</v>
      </c>
      <c r="E1602" s="36">
        <v>102.4071</v>
      </c>
    </row>
    <row r="1603" spans="1:5" x14ac:dyDescent="0.3">
      <c r="A1603" s="1">
        <v>45086</v>
      </c>
      <c r="B1603" s="37">
        <v>102.6739</v>
      </c>
      <c r="C1603" s="37">
        <v>102.6739</v>
      </c>
      <c r="D1603" s="37">
        <v>102.6739</v>
      </c>
      <c r="E1603" s="37">
        <v>102.6739</v>
      </c>
    </row>
    <row r="1604" spans="1:5" x14ac:dyDescent="0.3">
      <c r="A1604" s="2">
        <v>45087</v>
      </c>
      <c r="B1604" s="36">
        <v>102.9414</v>
      </c>
      <c r="C1604" s="36">
        <v>102.9414</v>
      </c>
      <c r="D1604" s="36">
        <v>102.9414</v>
      </c>
      <c r="E1604" s="36">
        <v>102.9414</v>
      </c>
    </row>
    <row r="1605" spans="1:5" x14ac:dyDescent="0.3">
      <c r="A1605" s="1">
        <v>45088</v>
      </c>
      <c r="B1605" s="37">
        <v>103.20959999999999</v>
      </c>
      <c r="C1605" s="37">
        <v>103.20959999999999</v>
      </c>
      <c r="D1605" s="37">
        <v>103.20959999999999</v>
      </c>
      <c r="E1605" s="37">
        <v>103.20959999999999</v>
      </c>
    </row>
    <row r="1606" spans="1:5" x14ac:dyDescent="0.3">
      <c r="A1606" s="2">
        <v>45089</v>
      </c>
      <c r="B1606" s="36">
        <v>103.4785</v>
      </c>
      <c r="C1606" s="36">
        <v>103.4785</v>
      </c>
      <c r="D1606" s="36">
        <v>103.4785</v>
      </c>
      <c r="E1606" s="36">
        <v>103.4785</v>
      </c>
    </row>
    <row r="1607" spans="1:5" x14ac:dyDescent="0.3">
      <c r="A1607" s="1">
        <v>45090</v>
      </c>
      <c r="B1607" s="37">
        <v>103.74809999999999</v>
      </c>
      <c r="C1607" s="37">
        <v>103.74809999999999</v>
      </c>
      <c r="D1607" s="37">
        <v>103.74809999999999</v>
      </c>
      <c r="E1607" s="37">
        <v>103.74809999999999</v>
      </c>
    </row>
    <row r="1608" spans="1:5" x14ac:dyDescent="0.3">
      <c r="A1608" s="2">
        <v>45091</v>
      </c>
      <c r="B1608" s="36">
        <v>104.0183</v>
      </c>
      <c r="C1608" s="36">
        <v>104.0183</v>
      </c>
      <c r="D1608" s="36">
        <v>104.0183</v>
      </c>
      <c r="E1608" s="36">
        <v>104.0183</v>
      </c>
    </row>
    <row r="1609" spans="1:5" x14ac:dyDescent="0.3">
      <c r="A1609" s="1">
        <v>45092</v>
      </c>
      <c r="B1609" s="37">
        <v>104.2893</v>
      </c>
      <c r="C1609" s="37">
        <v>104.2893</v>
      </c>
      <c r="D1609" s="37">
        <v>104.2893</v>
      </c>
      <c r="E1609" s="37">
        <v>104.2893</v>
      </c>
    </row>
    <row r="1610" spans="1:5" x14ac:dyDescent="0.3">
      <c r="A1610" s="2">
        <v>45093</v>
      </c>
      <c r="B1610" s="36">
        <v>104.5508</v>
      </c>
      <c r="C1610" s="36">
        <v>104.5508</v>
      </c>
      <c r="D1610" s="36">
        <v>104.5508</v>
      </c>
      <c r="E1610" s="36">
        <v>104.5508</v>
      </c>
    </row>
    <row r="1611" spans="1:5" x14ac:dyDescent="0.3">
      <c r="A1611" s="1">
        <v>45094</v>
      </c>
      <c r="B1611" s="37">
        <v>104.8128</v>
      </c>
      <c r="C1611" s="37">
        <v>104.8128</v>
      </c>
      <c r="D1611" s="37">
        <v>104.8128</v>
      </c>
      <c r="E1611" s="37">
        <v>104.8128</v>
      </c>
    </row>
    <row r="1612" spans="1:5" x14ac:dyDescent="0.3">
      <c r="A1612" s="2">
        <v>45095</v>
      </c>
      <c r="B1612" s="36">
        <v>105.07559999999999</v>
      </c>
      <c r="C1612" s="36">
        <v>105.07559999999999</v>
      </c>
      <c r="D1612" s="36">
        <v>105.07559999999999</v>
      </c>
      <c r="E1612" s="36">
        <v>105.07559999999999</v>
      </c>
    </row>
    <row r="1613" spans="1:5" x14ac:dyDescent="0.3">
      <c r="A1613" s="1">
        <v>45096</v>
      </c>
      <c r="B1613" s="37">
        <v>105.339</v>
      </c>
      <c r="C1613" s="37">
        <v>105.339</v>
      </c>
      <c r="D1613" s="37">
        <v>105.339</v>
      </c>
      <c r="E1613" s="37">
        <v>105.339</v>
      </c>
    </row>
    <row r="1614" spans="1:5" x14ac:dyDescent="0.3">
      <c r="A1614" s="2">
        <v>45097</v>
      </c>
      <c r="B1614" s="36">
        <v>105.60299999999999</v>
      </c>
      <c r="C1614" s="36">
        <v>105.60299999999999</v>
      </c>
      <c r="D1614" s="36">
        <v>105.60299999999999</v>
      </c>
      <c r="E1614" s="36">
        <v>105.60299999999999</v>
      </c>
    </row>
    <row r="1615" spans="1:5" x14ac:dyDescent="0.3">
      <c r="A1615" s="1">
        <v>45098</v>
      </c>
      <c r="B1615" s="37">
        <v>105.8677</v>
      </c>
      <c r="C1615" s="37">
        <v>105.8677</v>
      </c>
      <c r="D1615" s="37">
        <v>105.8677</v>
      </c>
      <c r="E1615" s="37">
        <v>105.8677</v>
      </c>
    </row>
    <row r="1616" spans="1:5" x14ac:dyDescent="0.3">
      <c r="A1616" s="2">
        <v>45099</v>
      </c>
      <c r="B1616" s="36">
        <v>106.1331</v>
      </c>
      <c r="C1616" s="36">
        <v>106.1331</v>
      </c>
      <c r="D1616" s="36">
        <v>106.1331</v>
      </c>
      <c r="E1616" s="36">
        <v>106.1331</v>
      </c>
    </row>
    <row r="1617" spans="1:5" x14ac:dyDescent="0.3">
      <c r="A1617" s="1">
        <v>45100</v>
      </c>
      <c r="B1617" s="37">
        <v>106.39919999999999</v>
      </c>
      <c r="C1617" s="37">
        <v>106.39919999999999</v>
      </c>
      <c r="D1617" s="37">
        <v>106.39919999999999</v>
      </c>
      <c r="E1617" s="37">
        <v>106.39919999999999</v>
      </c>
    </row>
    <row r="1618" spans="1:5" x14ac:dyDescent="0.3">
      <c r="A1618" s="2">
        <v>45101</v>
      </c>
      <c r="B1618" s="36">
        <v>106.66589999999999</v>
      </c>
      <c r="C1618" s="36">
        <v>106.66589999999999</v>
      </c>
      <c r="D1618" s="36">
        <v>106.66589999999999</v>
      </c>
      <c r="E1618" s="36">
        <v>106.66589999999999</v>
      </c>
    </row>
    <row r="1619" spans="1:5" x14ac:dyDescent="0.3">
      <c r="A1619" s="1">
        <v>45102</v>
      </c>
      <c r="B1619" s="37">
        <v>106.9333</v>
      </c>
      <c r="C1619" s="37">
        <v>106.9333</v>
      </c>
      <c r="D1619" s="37">
        <v>106.9333</v>
      </c>
      <c r="E1619" s="37">
        <v>106.9333</v>
      </c>
    </row>
    <row r="1620" spans="1:5" x14ac:dyDescent="0.3">
      <c r="A1620" s="2">
        <v>45103</v>
      </c>
      <c r="B1620" s="36">
        <v>107.2013</v>
      </c>
      <c r="C1620" s="36">
        <v>107.2013</v>
      </c>
      <c r="D1620" s="36">
        <v>107.2013</v>
      </c>
      <c r="E1620" s="36">
        <v>107.2013</v>
      </c>
    </row>
    <row r="1621" spans="1:5" x14ac:dyDescent="0.3">
      <c r="A1621" s="1">
        <v>45104</v>
      </c>
      <c r="B1621" s="37">
        <v>107.47</v>
      </c>
      <c r="C1621" s="37">
        <v>107.47</v>
      </c>
      <c r="D1621" s="37">
        <v>107.47</v>
      </c>
      <c r="E1621" s="37">
        <v>107.47</v>
      </c>
    </row>
    <row r="1622" spans="1:5" x14ac:dyDescent="0.3">
      <c r="A1622" s="2">
        <v>45105</v>
      </c>
      <c r="B1622" s="36">
        <v>107.7394</v>
      </c>
      <c r="C1622" s="36">
        <v>107.7394</v>
      </c>
      <c r="D1622" s="36">
        <v>107.7394</v>
      </c>
      <c r="E1622" s="36">
        <v>107.7394</v>
      </c>
    </row>
    <row r="1623" spans="1:5" x14ac:dyDescent="0.3">
      <c r="A1623" s="1">
        <v>45106</v>
      </c>
      <c r="B1623" s="37">
        <v>108.0095</v>
      </c>
      <c r="C1623" s="37">
        <v>108.0095</v>
      </c>
      <c r="D1623" s="37">
        <v>108.0095</v>
      </c>
      <c r="E1623" s="37">
        <v>108.0095</v>
      </c>
    </row>
    <row r="1624" spans="1:5" x14ac:dyDescent="0.3">
      <c r="A1624" s="2">
        <v>45107</v>
      </c>
      <c r="B1624" s="36">
        <v>108.2803</v>
      </c>
      <c r="C1624" s="36">
        <v>108.2803</v>
      </c>
      <c r="D1624" s="36">
        <v>108.2803</v>
      </c>
      <c r="E1624" s="36">
        <v>108.2803</v>
      </c>
    </row>
    <row r="1625" spans="1:5" x14ac:dyDescent="0.3">
      <c r="A1625" s="1">
        <v>45108</v>
      </c>
      <c r="B1625" s="37">
        <v>108.5517</v>
      </c>
      <c r="C1625" s="37">
        <v>108.5517</v>
      </c>
      <c r="D1625" s="37">
        <v>108.5517</v>
      </c>
      <c r="E1625" s="37">
        <v>108.5517</v>
      </c>
    </row>
    <row r="1626" spans="1:5" x14ac:dyDescent="0.3">
      <c r="A1626" s="2">
        <v>45109</v>
      </c>
      <c r="B1626" s="36">
        <v>108.82380000000001</v>
      </c>
      <c r="C1626" s="36">
        <v>108.82380000000001</v>
      </c>
      <c r="D1626" s="36">
        <v>108.82380000000001</v>
      </c>
      <c r="E1626" s="36">
        <v>108.82380000000001</v>
      </c>
    </row>
    <row r="1627" spans="1:5" x14ac:dyDescent="0.3">
      <c r="A1627" s="1">
        <v>45110</v>
      </c>
      <c r="B1627" s="37">
        <v>109.0966</v>
      </c>
      <c r="C1627" s="37">
        <v>109.0966</v>
      </c>
      <c r="D1627" s="37">
        <v>109.0966</v>
      </c>
      <c r="E1627" s="37">
        <v>109.0966</v>
      </c>
    </row>
    <row r="1628" spans="1:5" x14ac:dyDescent="0.3">
      <c r="A1628" s="2">
        <v>45111</v>
      </c>
      <c r="B1628" s="36">
        <v>109.37009999999999</v>
      </c>
      <c r="C1628" s="36">
        <v>109.37009999999999</v>
      </c>
      <c r="D1628" s="36">
        <v>109.37009999999999</v>
      </c>
      <c r="E1628" s="36">
        <v>109.37009999999999</v>
      </c>
    </row>
    <row r="1629" spans="1:5" x14ac:dyDescent="0.3">
      <c r="A1629" s="1">
        <v>45112</v>
      </c>
      <c r="B1629" s="37">
        <v>109.6442</v>
      </c>
      <c r="C1629" s="37">
        <v>109.6442</v>
      </c>
      <c r="D1629" s="37">
        <v>109.6442</v>
      </c>
      <c r="E1629" s="37">
        <v>109.6442</v>
      </c>
    </row>
    <row r="1630" spans="1:5" x14ac:dyDescent="0.3">
      <c r="A1630" s="2">
        <v>45113</v>
      </c>
      <c r="B1630" s="36">
        <v>109.9191</v>
      </c>
      <c r="C1630" s="36">
        <v>109.9191</v>
      </c>
      <c r="D1630" s="36">
        <v>109.9191</v>
      </c>
      <c r="E1630" s="36">
        <v>109.9191</v>
      </c>
    </row>
    <row r="1631" spans="1:5" x14ac:dyDescent="0.3">
      <c r="A1631" s="1">
        <v>45114</v>
      </c>
      <c r="B1631" s="37">
        <v>110.19459999999999</v>
      </c>
      <c r="C1631" s="37">
        <v>110.19459999999999</v>
      </c>
      <c r="D1631" s="37">
        <v>110.19459999999999</v>
      </c>
      <c r="E1631" s="37">
        <v>110.19459999999999</v>
      </c>
    </row>
    <row r="1632" spans="1:5" x14ac:dyDescent="0.3">
      <c r="A1632" s="2">
        <v>45115</v>
      </c>
      <c r="B1632" s="36">
        <v>110.4708</v>
      </c>
      <c r="C1632" s="36">
        <v>110.4708</v>
      </c>
      <c r="D1632" s="36">
        <v>110.4708</v>
      </c>
      <c r="E1632" s="36">
        <v>110.4708</v>
      </c>
    </row>
    <row r="1633" spans="1:5" x14ac:dyDescent="0.3">
      <c r="A1633" s="1">
        <v>45116</v>
      </c>
      <c r="B1633" s="37">
        <v>110.74769999999999</v>
      </c>
      <c r="C1633" s="37">
        <v>110.74769999999999</v>
      </c>
      <c r="D1633" s="37">
        <v>110.74769999999999</v>
      </c>
      <c r="E1633" s="37">
        <v>110.74769999999999</v>
      </c>
    </row>
    <row r="1634" spans="1:5" x14ac:dyDescent="0.3">
      <c r="A1634" s="2">
        <v>45117</v>
      </c>
      <c r="B1634" s="36">
        <v>111.0254</v>
      </c>
      <c r="C1634" s="36">
        <v>111.0254</v>
      </c>
      <c r="D1634" s="36">
        <v>111.0254</v>
      </c>
      <c r="E1634" s="36">
        <v>111.0254</v>
      </c>
    </row>
    <row r="1635" spans="1:5" x14ac:dyDescent="0.3">
      <c r="A1635" s="1">
        <v>45118</v>
      </c>
      <c r="B1635" s="37">
        <v>111.30370000000001</v>
      </c>
      <c r="C1635" s="37">
        <v>111.30370000000001</v>
      </c>
      <c r="D1635" s="37">
        <v>111.30370000000001</v>
      </c>
      <c r="E1635" s="37">
        <v>111.30370000000001</v>
      </c>
    </row>
    <row r="1636" spans="1:5" x14ac:dyDescent="0.3">
      <c r="A1636" s="2">
        <v>45119</v>
      </c>
      <c r="B1636" s="36">
        <v>111.5827</v>
      </c>
      <c r="C1636" s="36">
        <v>111.5827</v>
      </c>
      <c r="D1636" s="36">
        <v>111.5827</v>
      </c>
      <c r="E1636" s="36">
        <v>111.5827</v>
      </c>
    </row>
    <row r="1637" spans="1:5" x14ac:dyDescent="0.3">
      <c r="A1637" s="1">
        <v>45120</v>
      </c>
      <c r="B1637" s="37">
        <v>111.86239999999999</v>
      </c>
      <c r="C1637" s="37">
        <v>111.86239999999999</v>
      </c>
      <c r="D1637" s="37">
        <v>111.86239999999999</v>
      </c>
      <c r="E1637" s="37">
        <v>111.86239999999999</v>
      </c>
    </row>
    <row r="1638" spans="1:5" x14ac:dyDescent="0.3">
      <c r="A1638" s="2">
        <v>45121</v>
      </c>
      <c r="B1638" s="36">
        <v>112.14279999999999</v>
      </c>
      <c r="C1638" s="36">
        <v>112.14279999999999</v>
      </c>
      <c r="D1638" s="36">
        <v>112.14279999999999</v>
      </c>
      <c r="E1638" s="36">
        <v>112.14279999999999</v>
      </c>
    </row>
    <row r="1639" spans="1:5" x14ac:dyDescent="0.3">
      <c r="A1639" s="1">
        <v>45122</v>
      </c>
      <c r="B1639" s="37">
        <v>112.4239</v>
      </c>
      <c r="C1639" s="37">
        <v>112.4239</v>
      </c>
      <c r="D1639" s="37">
        <v>112.4239</v>
      </c>
      <c r="E1639" s="37">
        <v>112.4239</v>
      </c>
    </row>
    <row r="1640" spans="1:5" x14ac:dyDescent="0.3">
      <c r="A1640" s="2">
        <v>45123</v>
      </c>
      <c r="B1640" s="36">
        <v>112.6354</v>
      </c>
      <c r="C1640" s="36">
        <v>112.6354</v>
      </c>
      <c r="D1640" s="36">
        <v>112.6354</v>
      </c>
      <c r="E1640" s="36">
        <v>112.6354</v>
      </c>
    </row>
    <row r="1641" spans="1:5" x14ac:dyDescent="0.3">
      <c r="A1641" s="1">
        <v>45124</v>
      </c>
      <c r="B1641" s="37">
        <v>112.8473</v>
      </c>
      <c r="C1641" s="37">
        <v>112.8473</v>
      </c>
      <c r="D1641" s="37">
        <v>112.8473</v>
      </c>
      <c r="E1641" s="37">
        <v>112.8473</v>
      </c>
    </row>
    <row r="1642" spans="1:5" x14ac:dyDescent="0.3">
      <c r="A1642" s="2">
        <v>45125</v>
      </c>
      <c r="B1642" s="36">
        <v>113.0596</v>
      </c>
      <c r="C1642" s="36">
        <v>113.0596</v>
      </c>
      <c r="D1642" s="36">
        <v>113.0596</v>
      </c>
      <c r="E1642" s="36">
        <v>113.0596</v>
      </c>
    </row>
    <row r="1643" spans="1:5" x14ac:dyDescent="0.3">
      <c r="A1643" s="1">
        <v>45126</v>
      </c>
      <c r="B1643" s="37">
        <v>113.2724</v>
      </c>
      <c r="C1643" s="37">
        <v>113.2724</v>
      </c>
      <c r="D1643" s="37">
        <v>113.2724</v>
      </c>
      <c r="E1643" s="37">
        <v>113.2724</v>
      </c>
    </row>
    <row r="1644" spans="1:5" x14ac:dyDescent="0.3">
      <c r="A1644" s="2">
        <v>45127</v>
      </c>
      <c r="B1644" s="36">
        <v>113.4855</v>
      </c>
      <c r="C1644" s="36">
        <v>113.4855</v>
      </c>
      <c r="D1644" s="36">
        <v>113.4855</v>
      </c>
      <c r="E1644" s="36">
        <v>113.4855</v>
      </c>
    </row>
    <row r="1645" spans="1:5" x14ac:dyDescent="0.3">
      <c r="A1645" s="1">
        <v>45128</v>
      </c>
      <c r="B1645" s="37">
        <v>113.699</v>
      </c>
      <c r="C1645" s="37">
        <v>113.699</v>
      </c>
      <c r="D1645" s="37">
        <v>113.699</v>
      </c>
      <c r="E1645" s="37">
        <v>113.699</v>
      </c>
    </row>
    <row r="1646" spans="1:5" x14ac:dyDescent="0.3">
      <c r="A1646" s="2">
        <v>45129</v>
      </c>
      <c r="B1646" s="36">
        <v>113.91289999999999</v>
      </c>
      <c r="C1646" s="36">
        <v>113.91289999999999</v>
      </c>
      <c r="D1646" s="36">
        <v>113.91289999999999</v>
      </c>
      <c r="E1646" s="36">
        <v>113.91289999999999</v>
      </c>
    </row>
    <row r="1647" spans="1:5" x14ac:dyDescent="0.3">
      <c r="A1647" s="1">
        <v>45130</v>
      </c>
      <c r="B1647" s="37">
        <v>114.1272</v>
      </c>
      <c r="C1647" s="37">
        <v>114.1272</v>
      </c>
      <c r="D1647" s="37">
        <v>114.1272</v>
      </c>
      <c r="E1647" s="37">
        <v>114.1272</v>
      </c>
    </row>
    <row r="1648" spans="1:5" x14ac:dyDescent="0.3">
      <c r="A1648" s="2">
        <v>45131</v>
      </c>
      <c r="B1648" s="36">
        <v>114.3419</v>
      </c>
      <c r="C1648" s="36">
        <v>114.3419</v>
      </c>
      <c r="D1648" s="36">
        <v>114.3419</v>
      </c>
      <c r="E1648" s="36">
        <v>114.3419</v>
      </c>
    </row>
    <row r="1649" spans="1:5" x14ac:dyDescent="0.3">
      <c r="A1649" s="1">
        <v>45132</v>
      </c>
      <c r="B1649" s="37">
        <v>114.55710000000001</v>
      </c>
      <c r="C1649" s="37">
        <v>114.55710000000001</v>
      </c>
      <c r="D1649" s="37">
        <v>114.55710000000001</v>
      </c>
      <c r="E1649" s="37">
        <v>114.55710000000001</v>
      </c>
    </row>
    <row r="1650" spans="1:5" x14ac:dyDescent="0.3">
      <c r="A1650" s="2">
        <v>45133</v>
      </c>
      <c r="B1650" s="36">
        <v>114.7726</v>
      </c>
      <c r="C1650" s="36">
        <v>114.7726</v>
      </c>
      <c r="D1650" s="36">
        <v>114.7726</v>
      </c>
      <c r="E1650" s="36">
        <v>114.7726</v>
      </c>
    </row>
    <row r="1651" spans="1:5" x14ac:dyDescent="0.3">
      <c r="A1651" s="1">
        <v>45134</v>
      </c>
      <c r="B1651" s="37">
        <v>114.9885</v>
      </c>
      <c r="C1651" s="37">
        <v>114.9885</v>
      </c>
      <c r="D1651" s="37">
        <v>114.9885</v>
      </c>
      <c r="E1651" s="37">
        <v>114.9885</v>
      </c>
    </row>
    <row r="1652" spans="1:5" x14ac:dyDescent="0.3">
      <c r="A1652" s="2">
        <v>45135</v>
      </c>
      <c r="B1652" s="36">
        <v>115.20489999999999</v>
      </c>
      <c r="C1652" s="36">
        <v>115.20489999999999</v>
      </c>
      <c r="D1652" s="36">
        <v>115.20489999999999</v>
      </c>
      <c r="E1652" s="36">
        <v>115.20489999999999</v>
      </c>
    </row>
    <row r="1653" spans="1:5" x14ac:dyDescent="0.3">
      <c r="A1653" s="1">
        <v>45136</v>
      </c>
      <c r="B1653" s="37">
        <v>115.4216</v>
      </c>
      <c r="C1653" s="37">
        <v>115.4216</v>
      </c>
      <c r="D1653" s="37">
        <v>115.4216</v>
      </c>
      <c r="E1653" s="37">
        <v>115.4216</v>
      </c>
    </row>
    <row r="1654" spans="1:5" x14ac:dyDescent="0.3">
      <c r="A1654" s="2">
        <v>45137</v>
      </c>
      <c r="B1654" s="36">
        <v>115.6388</v>
      </c>
      <c r="C1654" s="36">
        <v>115.6388</v>
      </c>
      <c r="D1654" s="36">
        <v>115.6388</v>
      </c>
      <c r="E1654" s="36">
        <v>115.6388</v>
      </c>
    </row>
    <row r="1655" spans="1:5" x14ac:dyDescent="0.3">
      <c r="A1655" s="1">
        <v>45138</v>
      </c>
      <c r="B1655" s="37">
        <v>115.8563</v>
      </c>
      <c r="C1655" s="37">
        <v>115.8563</v>
      </c>
      <c r="D1655" s="37">
        <v>115.8563</v>
      </c>
      <c r="E1655" s="37">
        <v>115.8563</v>
      </c>
    </row>
    <row r="1656" spans="1:5" x14ac:dyDescent="0.3">
      <c r="A1656" s="2">
        <v>45139</v>
      </c>
      <c r="B1656" s="36">
        <v>116.07429999999999</v>
      </c>
      <c r="C1656" s="36">
        <v>116.07429999999999</v>
      </c>
      <c r="D1656" s="36">
        <v>116.07429999999999</v>
      </c>
      <c r="E1656" s="36">
        <v>116.07429999999999</v>
      </c>
    </row>
    <row r="1657" spans="1:5" x14ac:dyDescent="0.3">
      <c r="A1657" s="1">
        <v>45140</v>
      </c>
      <c r="B1657" s="37">
        <v>116.2927</v>
      </c>
      <c r="C1657" s="37">
        <v>116.2927</v>
      </c>
      <c r="D1657" s="37">
        <v>116.2927</v>
      </c>
      <c r="E1657" s="37">
        <v>116.2927</v>
      </c>
    </row>
    <row r="1658" spans="1:5" x14ac:dyDescent="0.3">
      <c r="A1658" s="2">
        <v>45141</v>
      </c>
      <c r="B1658" s="36">
        <v>116.5115</v>
      </c>
      <c r="C1658" s="36">
        <v>116.5115</v>
      </c>
      <c r="D1658" s="36">
        <v>116.5115</v>
      </c>
      <c r="E1658" s="36">
        <v>116.5115</v>
      </c>
    </row>
    <row r="1659" spans="1:5" x14ac:dyDescent="0.3">
      <c r="A1659" s="1">
        <v>45142</v>
      </c>
      <c r="B1659" s="37">
        <v>116.7307</v>
      </c>
      <c r="C1659" s="37">
        <v>116.7307</v>
      </c>
      <c r="D1659" s="37">
        <v>116.7307</v>
      </c>
      <c r="E1659" s="37">
        <v>116.7307</v>
      </c>
    </row>
    <row r="1660" spans="1:5" x14ac:dyDescent="0.3">
      <c r="A1660" s="2">
        <v>45143</v>
      </c>
      <c r="B1660" s="36">
        <v>116.9503</v>
      </c>
      <c r="C1660" s="36">
        <v>116.9503</v>
      </c>
      <c r="D1660" s="36">
        <v>116.9503</v>
      </c>
      <c r="E1660" s="36">
        <v>116.9503</v>
      </c>
    </row>
    <row r="1661" spans="1:5" x14ac:dyDescent="0.3">
      <c r="A1661" s="1">
        <v>45144</v>
      </c>
      <c r="B1661" s="37">
        <v>117.1703</v>
      </c>
      <c r="C1661" s="37">
        <v>117.1703</v>
      </c>
      <c r="D1661" s="37">
        <v>117.1703</v>
      </c>
      <c r="E1661" s="37">
        <v>117.1703</v>
      </c>
    </row>
    <row r="1662" spans="1:5" x14ac:dyDescent="0.3">
      <c r="A1662" s="2">
        <v>45145</v>
      </c>
      <c r="B1662" s="36">
        <v>117.3908</v>
      </c>
      <c r="C1662" s="36">
        <v>117.3908</v>
      </c>
      <c r="D1662" s="36">
        <v>117.3908</v>
      </c>
      <c r="E1662" s="36">
        <v>117.3908</v>
      </c>
    </row>
    <row r="1663" spans="1:5" x14ac:dyDescent="0.3">
      <c r="A1663" s="1">
        <v>45146</v>
      </c>
      <c r="B1663" s="37">
        <v>117.6116</v>
      </c>
      <c r="C1663" s="37">
        <v>117.6116</v>
      </c>
      <c r="D1663" s="37">
        <v>117.6116</v>
      </c>
      <c r="E1663" s="37">
        <v>117.6116</v>
      </c>
    </row>
    <row r="1664" spans="1:5" x14ac:dyDescent="0.3">
      <c r="A1664" s="2">
        <v>45147</v>
      </c>
      <c r="B1664" s="36">
        <v>117.8329</v>
      </c>
      <c r="C1664" s="36">
        <v>117.8329</v>
      </c>
      <c r="D1664" s="36">
        <v>117.8329</v>
      </c>
      <c r="E1664" s="36">
        <v>117.8329</v>
      </c>
    </row>
    <row r="1665" spans="1:5" x14ac:dyDescent="0.3">
      <c r="A1665" s="1">
        <v>45148</v>
      </c>
      <c r="B1665" s="37">
        <v>118.05459999999999</v>
      </c>
      <c r="C1665" s="37">
        <v>118.05459999999999</v>
      </c>
      <c r="D1665" s="37">
        <v>118.05459999999999</v>
      </c>
      <c r="E1665" s="37">
        <v>118.05459999999999</v>
      </c>
    </row>
    <row r="1666" spans="1:5" x14ac:dyDescent="0.3">
      <c r="A1666" s="2">
        <v>45149</v>
      </c>
      <c r="B1666" s="36">
        <v>118.27670000000001</v>
      </c>
      <c r="C1666" s="36">
        <v>118.27670000000001</v>
      </c>
      <c r="D1666" s="36">
        <v>118.27670000000001</v>
      </c>
      <c r="E1666" s="36">
        <v>118.27670000000001</v>
      </c>
    </row>
    <row r="1667" spans="1:5" x14ac:dyDescent="0.3">
      <c r="A1667" s="1">
        <v>45150</v>
      </c>
      <c r="B1667" s="37">
        <v>118.4992</v>
      </c>
      <c r="C1667" s="37">
        <v>118.4992</v>
      </c>
      <c r="D1667" s="37">
        <v>118.4992</v>
      </c>
      <c r="E1667" s="37">
        <v>118.4992</v>
      </c>
    </row>
    <row r="1668" spans="1:5" x14ac:dyDescent="0.3">
      <c r="A1668" s="2">
        <v>45151</v>
      </c>
      <c r="B1668" s="36">
        <v>118.7222</v>
      </c>
      <c r="C1668" s="36">
        <v>118.7222</v>
      </c>
      <c r="D1668" s="36">
        <v>118.7222</v>
      </c>
      <c r="E1668" s="36">
        <v>118.7222</v>
      </c>
    </row>
    <row r="1669" spans="1:5" x14ac:dyDescent="0.3">
      <c r="A1669" s="1">
        <v>45152</v>
      </c>
      <c r="B1669" s="37">
        <v>118.9456</v>
      </c>
      <c r="C1669" s="37">
        <v>118.9456</v>
      </c>
      <c r="D1669" s="37">
        <v>118.9456</v>
      </c>
      <c r="E1669" s="37">
        <v>118.9456</v>
      </c>
    </row>
    <row r="1670" spans="1:5" x14ac:dyDescent="0.3">
      <c r="A1670" s="2">
        <v>45153</v>
      </c>
      <c r="B1670" s="36">
        <v>119.16930000000001</v>
      </c>
      <c r="C1670" s="36">
        <v>119.16930000000001</v>
      </c>
      <c r="D1670" s="36">
        <v>119.16930000000001</v>
      </c>
      <c r="E1670" s="36">
        <v>119.16930000000001</v>
      </c>
    </row>
    <row r="1671" spans="1:5" x14ac:dyDescent="0.3">
      <c r="A1671" s="1">
        <v>45154</v>
      </c>
      <c r="B1671" s="37">
        <v>119.4044</v>
      </c>
      <c r="C1671" s="37">
        <v>119.4044</v>
      </c>
      <c r="D1671" s="37">
        <v>119.4044</v>
      </c>
      <c r="E1671" s="37">
        <v>119.4044</v>
      </c>
    </row>
    <row r="1672" spans="1:5" x14ac:dyDescent="0.3">
      <c r="A1672" s="2">
        <v>45155</v>
      </c>
      <c r="B1672" s="36">
        <v>119.64</v>
      </c>
      <c r="C1672" s="36">
        <v>119.64</v>
      </c>
      <c r="D1672" s="36">
        <v>119.64</v>
      </c>
      <c r="E1672" s="36">
        <v>119.64</v>
      </c>
    </row>
    <row r="1673" spans="1:5" x14ac:dyDescent="0.3">
      <c r="A1673" s="1">
        <v>45156</v>
      </c>
      <c r="B1673" s="37">
        <v>119.876</v>
      </c>
      <c r="C1673" s="37">
        <v>119.876</v>
      </c>
      <c r="D1673" s="37">
        <v>119.876</v>
      </c>
      <c r="E1673" s="37">
        <v>119.876</v>
      </c>
    </row>
    <row r="1674" spans="1:5" x14ac:dyDescent="0.3">
      <c r="A1674" s="2">
        <v>45157</v>
      </c>
      <c r="B1674" s="36">
        <v>120.1125</v>
      </c>
      <c r="C1674" s="36">
        <v>120.1125</v>
      </c>
      <c r="D1674" s="36">
        <v>120.1125</v>
      </c>
      <c r="E1674" s="36">
        <v>120.1125</v>
      </c>
    </row>
    <row r="1675" spans="1:5" x14ac:dyDescent="0.3">
      <c r="A1675" s="1">
        <v>45158</v>
      </c>
      <c r="B1675" s="37">
        <v>120.3494</v>
      </c>
      <c r="C1675" s="37">
        <v>120.3494</v>
      </c>
      <c r="D1675" s="37">
        <v>120.3494</v>
      </c>
      <c r="E1675" s="37">
        <v>120.3494</v>
      </c>
    </row>
    <row r="1676" spans="1:5" x14ac:dyDescent="0.3">
      <c r="A1676" s="2">
        <v>45159</v>
      </c>
      <c r="B1676" s="36">
        <v>120.5869</v>
      </c>
      <c r="C1676" s="36">
        <v>120.5869</v>
      </c>
      <c r="D1676" s="36">
        <v>120.5869</v>
      </c>
      <c r="E1676" s="36">
        <v>120.5869</v>
      </c>
    </row>
    <row r="1677" spans="1:5" x14ac:dyDescent="0.3">
      <c r="A1677" s="1">
        <v>45160</v>
      </c>
      <c r="B1677" s="37">
        <v>120.8248</v>
      </c>
      <c r="C1677" s="37">
        <v>120.8248</v>
      </c>
      <c r="D1677" s="37">
        <v>120.8248</v>
      </c>
      <c r="E1677" s="37">
        <v>120.8248</v>
      </c>
    </row>
    <row r="1678" spans="1:5" x14ac:dyDescent="0.3">
      <c r="A1678" s="2">
        <v>45161</v>
      </c>
      <c r="B1678" s="36">
        <v>121.06310000000001</v>
      </c>
      <c r="C1678" s="36">
        <v>121.06310000000001</v>
      </c>
      <c r="D1678" s="36">
        <v>121.06310000000001</v>
      </c>
      <c r="E1678" s="36">
        <v>121.06310000000001</v>
      </c>
    </row>
    <row r="1679" spans="1:5" x14ac:dyDescent="0.3">
      <c r="A1679" s="1">
        <v>45162</v>
      </c>
      <c r="B1679" s="37">
        <v>121.3019</v>
      </c>
      <c r="C1679" s="37">
        <v>121.3019</v>
      </c>
      <c r="D1679" s="37">
        <v>121.3019</v>
      </c>
      <c r="E1679" s="37">
        <v>121.3019</v>
      </c>
    </row>
    <row r="1680" spans="1:5" x14ac:dyDescent="0.3">
      <c r="A1680" s="2">
        <v>45163</v>
      </c>
      <c r="B1680" s="36">
        <v>121.5412</v>
      </c>
      <c r="C1680" s="36">
        <v>121.5412</v>
      </c>
      <c r="D1680" s="36">
        <v>121.5412</v>
      </c>
      <c r="E1680" s="36">
        <v>121.5412</v>
      </c>
    </row>
    <row r="1681" spans="1:5" x14ac:dyDescent="0.3">
      <c r="A1681" s="1">
        <v>45164</v>
      </c>
      <c r="B1681" s="37">
        <v>121.78100000000001</v>
      </c>
      <c r="C1681" s="37">
        <v>121.78100000000001</v>
      </c>
      <c r="D1681" s="37">
        <v>121.78100000000001</v>
      </c>
      <c r="E1681" s="37">
        <v>121.78100000000001</v>
      </c>
    </row>
    <row r="1682" spans="1:5" x14ac:dyDescent="0.3">
      <c r="A1682" s="2">
        <v>45165</v>
      </c>
      <c r="B1682" s="36">
        <v>122.02119999999999</v>
      </c>
      <c r="C1682" s="36">
        <v>122.02119999999999</v>
      </c>
      <c r="D1682" s="36">
        <v>122.02119999999999</v>
      </c>
      <c r="E1682" s="36">
        <v>122.02119999999999</v>
      </c>
    </row>
    <row r="1683" spans="1:5" x14ac:dyDescent="0.3">
      <c r="A1683" s="1">
        <v>45166</v>
      </c>
      <c r="B1683" s="37">
        <v>122.262</v>
      </c>
      <c r="C1683" s="37">
        <v>122.262</v>
      </c>
      <c r="D1683" s="37">
        <v>122.262</v>
      </c>
      <c r="E1683" s="37">
        <v>122.262</v>
      </c>
    </row>
    <row r="1684" spans="1:5" x14ac:dyDescent="0.3">
      <c r="A1684" s="2">
        <v>45167</v>
      </c>
      <c r="B1684" s="36">
        <v>122.50320000000001</v>
      </c>
      <c r="C1684" s="36">
        <v>122.50320000000001</v>
      </c>
      <c r="D1684" s="36">
        <v>122.50320000000001</v>
      </c>
      <c r="E1684" s="36">
        <v>122.50320000000001</v>
      </c>
    </row>
    <row r="1685" spans="1:5" x14ac:dyDescent="0.3">
      <c r="A1685" s="1">
        <v>45168</v>
      </c>
      <c r="B1685" s="37">
        <v>122.7448</v>
      </c>
      <c r="C1685" s="37">
        <v>122.7448</v>
      </c>
      <c r="D1685" s="37">
        <v>122.7448</v>
      </c>
      <c r="E1685" s="37">
        <v>122.7448</v>
      </c>
    </row>
    <row r="1686" spans="1:5" x14ac:dyDescent="0.3">
      <c r="A1686" s="2">
        <v>45169</v>
      </c>
      <c r="B1686" s="36">
        <v>122.98699999999999</v>
      </c>
      <c r="C1686" s="36">
        <v>122.98699999999999</v>
      </c>
      <c r="D1686" s="36">
        <v>122.98699999999999</v>
      </c>
      <c r="E1686" s="36">
        <v>122.98699999999999</v>
      </c>
    </row>
    <row r="1687" spans="1:5" x14ac:dyDescent="0.3">
      <c r="A1687" s="1">
        <v>45170</v>
      </c>
      <c r="B1687" s="37">
        <v>123.2296</v>
      </c>
      <c r="C1687" s="37">
        <v>123.2296</v>
      </c>
      <c r="D1687" s="37">
        <v>123.2296</v>
      </c>
      <c r="E1687" s="37">
        <v>123.2296</v>
      </c>
    </row>
    <row r="1688" spans="1:5" x14ac:dyDescent="0.3">
      <c r="A1688" s="2">
        <v>45171</v>
      </c>
      <c r="B1688" s="36">
        <v>123.4727</v>
      </c>
      <c r="C1688" s="36">
        <v>123.4727</v>
      </c>
      <c r="D1688" s="36">
        <v>123.4727</v>
      </c>
      <c r="E1688" s="36">
        <v>123.4727</v>
      </c>
    </row>
    <row r="1689" spans="1:5" x14ac:dyDescent="0.3">
      <c r="A1689" s="1">
        <v>45172</v>
      </c>
      <c r="B1689" s="37">
        <v>123.7163</v>
      </c>
      <c r="C1689" s="37">
        <v>123.7163</v>
      </c>
      <c r="D1689" s="37">
        <v>123.7163</v>
      </c>
      <c r="E1689" s="37">
        <v>123.7163</v>
      </c>
    </row>
    <row r="1690" spans="1:5" x14ac:dyDescent="0.3">
      <c r="A1690" s="2">
        <v>45173</v>
      </c>
      <c r="B1690" s="36">
        <v>123.9603</v>
      </c>
      <c r="C1690" s="36">
        <v>123.9603</v>
      </c>
      <c r="D1690" s="36">
        <v>123.9603</v>
      </c>
      <c r="E1690" s="36">
        <v>123.9603</v>
      </c>
    </row>
    <row r="1691" spans="1:5" x14ac:dyDescent="0.3">
      <c r="A1691" s="1">
        <v>45174</v>
      </c>
      <c r="B1691" s="37">
        <v>124.20489999999999</v>
      </c>
      <c r="C1691" s="37">
        <v>124.20489999999999</v>
      </c>
      <c r="D1691" s="37">
        <v>124.20489999999999</v>
      </c>
      <c r="E1691" s="37">
        <v>124.20489999999999</v>
      </c>
    </row>
    <row r="1692" spans="1:5" x14ac:dyDescent="0.3">
      <c r="A1692" s="2">
        <v>45175</v>
      </c>
      <c r="B1692" s="36">
        <v>124.4499</v>
      </c>
      <c r="C1692" s="36">
        <v>124.4499</v>
      </c>
      <c r="D1692" s="36">
        <v>124.4499</v>
      </c>
      <c r="E1692" s="36">
        <v>124.4499</v>
      </c>
    </row>
    <row r="1693" spans="1:5" x14ac:dyDescent="0.3">
      <c r="A1693" s="1">
        <v>45176</v>
      </c>
      <c r="B1693" s="37">
        <v>124.69540000000001</v>
      </c>
      <c r="C1693" s="37">
        <v>124.69540000000001</v>
      </c>
      <c r="D1693" s="37">
        <v>124.69540000000001</v>
      </c>
      <c r="E1693" s="37">
        <v>124.69540000000001</v>
      </c>
    </row>
    <row r="1694" spans="1:5" x14ac:dyDescent="0.3">
      <c r="A1694" s="2">
        <v>45177</v>
      </c>
      <c r="B1694" s="36">
        <v>124.9414</v>
      </c>
      <c r="C1694" s="36">
        <v>124.9414</v>
      </c>
      <c r="D1694" s="36">
        <v>124.9414</v>
      </c>
      <c r="E1694" s="36">
        <v>124.9414</v>
      </c>
    </row>
    <row r="1695" spans="1:5" x14ac:dyDescent="0.3">
      <c r="A1695" s="1">
        <v>45178</v>
      </c>
      <c r="B1695" s="37">
        <v>125.1879</v>
      </c>
      <c r="C1695" s="37">
        <v>125.1879</v>
      </c>
      <c r="D1695" s="37">
        <v>125.1879</v>
      </c>
      <c r="E1695" s="37">
        <v>125.1879</v>
      </c>
    </row>
    <row r="1696" spans="1:5" x14ac:dyDescent="0.3">
      <c r="A1696" s="2">
        <v>45179</v>
      </c>
      <c r="B1696" s="36">
        <v>125.4349</v>
      </c>
      <c r="C1696" s="36">
        <v>125.4349</v>
      </c>
      <c r="D1696" s="36">
        <v>125.4349</v>
      </c>
      <c r="E1696" s="36">
        <v>125.4349</v>
      </c>
    </row>
    <row r="1697" spans="1:5" x14ac:dyDescent="0.3">
      <c r="A1697" s="1">
        <v>45180</v>
      </c>
      <c r="B1697" s="37">
        <v>125.6823</v>
      </c>
      <c r="C1697" s="37">
        <v>125.6823</v>
      </c>
      <c r="D1697" s="37">
        <v>125.6823</v>
      </c>
      <c r="E1697" s="37">
        <v>125.6823</v>
      </c>
    </row>
    <row r="1698" spans="1:5" x14ac:dyDescent="0.3">
      <c r="A1698" s="2">
        <v>45181</v>
      </c>
      <c r="B1698" s="36">
        <v>125.9302</v>
      </c>
      <c r="C1698" s="36">
        <v>125.9302</v>
      </c>
      <c r="D1698" s="36">
        <v>125.9302</v>
      </c>
      <c r="E1698" s="36">
        <v>125.9302</v>
      </c>
    </row>
    <row r="1699" spans="1:5" x14ac:dyDescent="0.3">
      <c r="A1699" s="1">
        <v>45182</v>
      </c>
      <c r="B1699" s="37">
        <v>126.17870000000001</v>
      </c>
      <c r="C1699" s="37">
        <v>126.17870000000001</v>
      </c>
      <c r="D1699" s="37">
        <v>126.17870000000001</v>
      </c>
      <c r="E1699" s="37">
        <v>126.17870000000001</v>
      </c>
    </row>
    <row r="1700" spans="1:5" x14ac:dyDescent="0.3">
      <c r="A1700" s="2">
        <v>45183</v>
      </c>
      <c r="B1700" s="36">
        <v>126.4276</v>
      </c>
      <c r="C1700" s="36">
        <v>126.4276</v>
      </c>
      <c r="D1700" s="36">
        <v>126.4276</v>
      </c>
      <c r="E1700" s="36">
        <v>126.4276</v>
      </c>
    </row>
    <row r="1701" spans="1:5" x14ac:dyDescent="0.3">
      <c r="A1701" s="1">
        <v>45184</v>
      </c>
      <c r="B1701" s="37">
        <v>126.67700000000001</v>
      </c>
      <c r="C1701" s="37">
        <v>126.67700000000001</v>
      </c>
      <c r="D1701" s="37">
        <v>126.67700000000001</v>
      </c>
      <c r="E1701" s="37">
        <v>126.67700000000001</v>
      </c>
    </row>
    <row r="1702" spans="1:5" x14ac:dyDescent="0.3">
      <c r="A1702" s="2">
        <v>45185</v>
      </c>
      <c r="B1702" s="36">
        <v>127.1716</v>
      </c>
      <c r="C1702" s="36">
        <v>127.1716</v>
      </c>
      <c r="D1702" s="36">
        <v>127.1716</v>
      </c>
      <c r="E1702" s="36">
        <v>127.1716</v>
      </c>
    </row>
    <row r="1703" spans="1:5" x14ac:dyDescent="0.3">
      <c r="A1703" s="1">
        <v>45186</v>
      </c>
      <c r="B1703" s="37">
        <v>127.66800000000001</v>
      </c>
      <c r="C1703" s="37">
        <v>127.66800000000001</v>
      </c>
      <c r="D1703" s="37">
        <v>127.66800000000001</v>
      </c>
      <c r="E1703" s="37">
        <v>127.66800000000001</v>
      </c>
    </row>
    <row r="1704" spans="1:5" x14ac:dyDescent="0.3">
      <c r="A1704" s="2">
        <v>45187</v>
      </c>
      <c r="B1704" s="36">
        <v>128.16650000000001</v>
      </c>
      <c r="C1704" s="36">
        <v>128.16650000000001</v>
      </c>
      <c r="D1704" s="36">
        <v>128.16650000000001</v>
      </c>
      <c r="E1704" s="36">
        <v>128.16650000000001</v>
      </c>
    </row>
    <row r="1705" spans="1:5" x14ac:dyDescent="0.3">
      <c r="A1705" s="1">
        <v>45188</v>
      </c>
      <c r="B1705" s="37">
        <v>128.66679999999999</v>
      </c>
      <c r="C1705" s="37">
        <v>128.66679999999999</v>
      </c>
      <c r="D1705" s="37">
        <v>128.66679999999999</v>
      </c>
      <c r="E1705" s="37">
        <v>128.66679999999999</v>
      </c>
    </row>
    <row r="1706" spans="1:5" x14ac:dyDescent="0.3">
      <c r="A1706" s="2">
        <v>45189</v>
      </c>
      <c r="B1706" s="36">
        <v>129.16919999999999</v>
      </c>
      <c r="C1706" s="36">
        <v>129.16919999999999</v>
      </c>
      <c r="D1706" s="36">
        <v>129.16919999999999</v>
      </c>
      <c r="E1706" s="36">
        <v>129.16919999999999</v>
      </c>
    </row>
    <row r="1707" spans="1:5" x14ac:dyDescent="0.3">
      <c r="A1707" s="1">
        <v>45190</v>
      </c>
      <c r="B1707" s="37">
        <v>129.67339999999999</v>
      </c>
      <c r="C1707" s="37">
        <v>129.67339999999999</v>
      </c>
      <c r="D1707" s="37">
        <v>129.67339999999999</v>
      </c>
      <c r="E1707" s="37">
        <v>129.67339999999999</v>
      </c>
    </row>
    <row r="1708" spans="1:5" x14ac:dyDescent="0.3">
      <c r="A1708" s="2">
        <v>45191</v>
      </c>
      <c r="B1708" s="36">
        <v>130.1797</v>
      </c>
      <c r="C1708" s="36">
        <v>130.1797</v>
      </c>
      <c r="D1708" s="36">
        <v>130.1797</v>
      </c>
      <c r="E1708" s="36">
        <v>130.1797</v>
      </c>
    </row>
    <row r="1709" spans="1:5" x14ac:dyDescent="0.3">
      <c r="A1709" s="1">
        <v>45192</v>
      </c>
      <c r="B1709" s="37">
        <v>130.68790000000001</v>
      </c>
      <c r="C1709" s="37">
        <v>130.68790000000001</v>
      </c>
      <c r="D1709" s="37">
        <v>130.68790000000001</v>
      </c>
      <c r="E1709" s="37">
        <v>130.68790000000001</v>
      </c>
    </row>
    <row r="1710" spans="1:5" x14ac:dyDescent="0.3">
      <c r="A1710" s="2">
        <v>45193</v>
      </c>
      <c r="B1710" s="36">
        <v>131.19810000000001</v>
      </c>
      <c r="C1710" s="36">
        <v>131.19810000000001</v>
      </c>
      <c r="D1710" s="36">
        <v>131.19810000000001</v>
      </c>
      <c r="E1710" s="36">
        <v>131.19810000000001</v>
      </c>
    </row>
    <row r="1711" spans="1:5" x14ac:dyDescent="0.3">
      <c r="A1711" s="1">
        <v>45194</v>
      </c>
      <c r="B1711" s="37">
        <v>131.71029999999999</v>
      </c>
      <c r="C1711" s="37">
        <v>131.71029999999999</v>
      </c>
      <c r="D1711" s="37">
        <v>131.71029999999999</v>
      </c>
      <c r="E1711" s="37">
        <v>131.71029999999999</v>
      </c>
    </row>
    <row r="1712" spans="1:5" x14ac:dyDescent="0.3">
      <c r="A1712" s="2">
        <v>45195</v>
      </c>
      <c r="B1712" s="36">
        <v>132.22460000000001</v>
      </c>
      <c r="C1712" s="36">
        <v>132.22460000000001</v>
      </c>
      <c r="D1712" s="36">
        <v>132.22460000000001</v>
      </c>
      <c r="E1712" s="36">
        <v>132.22460000000001</v>
      </c>
    </row>
    <row r="1713" spans="1:5" x14ac:dyDescent="0.3">
      <c r="A1713" s="1">
        <v>45196</v>
      </c>
      <c r="B1713" s="37">
        <v>132.74080000000001</v>
      </c>
      <c r="C1713" s="37">
        <v>132.74080000000001</v>
      </c>
      <c r="D1713" s="37">
        <v>132.74080000000001</v>
      </c>
      <c r="E1713" s="37">
        <v>132.74080000000001</v>
      </c>
    </row>
    <row r="1714" spans="1:5" x14ac:dyDescent="0.3">
      <c r="A1714" s="2">
        <v>45197</v>
      </c>
      <c r="B1714" s="36">
        <v>133.25899999999999</v>
      </c>
      <c r="C1714" s="36">
        <v>133.25899999999999</v>
      </c>
      <c r="D1714" s="36">
        <v>133.25899999999999</v>
      </c>
      <c r="E1714" s="36">
        <v>133.25899999999999</v>
      </c>
    </row>
    <row r="1715" spans="1:5" x14ac:dyDescent="0.3">
      <c r="A1715" s="1">
        <v>45198</v>
      </c>
      <c r="B1715" s="37">
        <v>133.7792</v>
      </c>
      <c r="C1715" s="37">
        <v>133.7792</v>
      </c>
      <c r="D1715" s="37">
        <v>133.7792</v>
      </c>
      <c r="E1715" s="37">
        <v>133.7792</v>
      </c>
    </row>
    <row r="1716" spans="1:5" x14ac:dyDescent="0.3">
      <c r="A1716" s="2">
        <v>45199</v>
      </c>
      <c r="B1716" s="36">
        <v>134.3015</v>
      </c>
      <c r="C1716" s="36">
        <v>134.3015</v>
      </c>
      <c r="D1716" s="36">
        <v>134.3015</v>
      </c>
      <c r="E1716" s="36">
        <v>134.3015</v>
      </c>
    </row>
    <row r="1717" spans="1:5" x14ac:dyDescent="0.3">
      <c r="A1717" s="1">
        <v>45200</v>
      </c>
      <c r="B1717" s="37">
        <v>134.82579999999999</v>
      </c>
      <c r="C1717" s="37">
        <v>134.82579999999999</v>
      </c>
      <c r="D1717" s="37">
        <v>134.82579999999999</v>
      </c>
      <c r="E1717" s="37">
        <v>134.82579999999999</v>
      </c>
    </row>
    <row r="1718" spans="1:5" x14ac:dyDescent="0.3">
      <c r="A1718" s="2">
        <v>45201</v>
      </c>
      <c r="B1718" s="36">
        <v>135.35220000000001</v>
      </c>
      <c r="C1718" s="36">
        <v>135.35220000000001</v>
      </c>
      <c r="D1718" s="36">
        <v>135.35220000000001</v>
      </c>
      <c r="E1718" s="36">
        <v>135.35220000000001</v>
      </c>
    </row>
    <row r="1719" spans="1:5" x14ac:dyDescent="0.3">
      <c r="A1719" s="1">
        <v>45202</v>
      </c>
      <c r="B1719" s="37">
        <v>135.88059999999999</v>
      </c>
      <c r="C1719" s="37">
        <v>135.88059999999999</v>
      </c>
      <c r="D1719" s="37">
        <v>135.88059999999999</v>
      </c>
      <c r="E1719" s="37">
        <v>135.88059999999999</v>
      </c>
    </row>
    <row r="1720" spans="1:5" x14ac:dyDescent="0.3">
      <c r="A1720" s="2">
        <v>45203</v>
      </c>
      <c r="B1720" s="36">
        <v>136.4111</v>
      </c>
      <c r="C1720" s="36">
        <v>136.4111</v>
      </c>
      <c r="D1720" s="36">
        <v>136.4111</v>
      </c>
      <c r="E1720" s="36">
        <v>136.4111</v>
      </c>
    </row>
    <row r="1721" spans="1:5" x14ac:dyDescent="0.3">
      <c r="A1721" s="1">
        <v>45204</v>
      </c>
      <c r="B1721" s="37">
        <v>136.94370000000001</v>
      </c>
      <c r="C1721" s="37">
        <v>136.94370000000001</v>
      </c>
      <c r="D1721" s="37">
        <v>136.94370000000001</v>
      </c>
      <c r="E1721" s="37">
        <v>136.94370000000001</v>
      </c>
    </row>
    <row r="1722" spans="1:5" x14ac:dyDescent="0.3">
      <c r="A1722" s="2">
        <v>45205</v>
      </c>
      <c r="B1722" s="36">
        <v>137.47829999999999</v>
      </c>
      <c r="C1722" s="36">
        <v>137.47829999999999</v>
      </c>
      <c r="D1722" s="36">
        <v>137.47829999999999</v>
      </c>
      <c r="E1722" s="36">
        <v>137.47829999999999</v>
      </c>
    </row>
    <row r="1723" spans="1:5" x14ac:dyDescent="0.3">
      <c r="A1723" s="1">
        <v>45206</v>
      </c>
      <c r="B1723" s="37">
        <v>138.01499999999999</v>
      </c>
      <c r="C1723" s="37">
        <v>138.01499999999999</v>
      </c>
      <c r="D1723" s="37">
        <v>138.01499999999999</v>
      </c>
      <c r="E1723" s="37">
        <v>138.01499999999999</v>
      </c>
    </row>
    <row r="1724" spans="1:5" x14ac:dyDescent="0.3">
      <c r="A1724" s="2">
        <v>45207</v>
      </c>
      <c r="B1724" s="36">
        <v>138.5539</v>
      </c>
      <c r="C1724" s="36">
        <v>138.5539</v>
      </c>
      <c r="D1724" s="36">
        <v>138.5539</v>
      </c>
      <c r="E1724" s="36">
        <v>138.5539</v>
      </c>
    </row>
    <row r="1725" spans="1:5" x14ac:dyDescent="0.3">
      <c r="A1725" s="1">
        <v>45208</v>
      </c>
      <c r="B1725" s="37">
        <v>139.09479999999999</v>
      </c>
      <c r="C1725" s="37">
        <v>139.09479999999999</v>
      </c>
      <c r="D1725" s="37">
        <v>139.09479999999999</v>
      </c>
      <c r="E1725" s="37">
        <v>139.09479999999999</v>
      </c>
    </row>
    <row r="1726" spans="1:5" x14ac:dyDescent="0.3">
      <c r="A1726" s="2">
        <v>45209</v>
      </c>
      <c r="B1726" s="36">
        <v>139.6378</v>
      </c>
      <c r="C1726" s="36">
        <v>139.6378</v>
      </c>
      <c r="D1726" s="36">
        <v>139.6378</v>
      </c>
      <c r="E1726" s="36">
        <v>139.6378</v>
      </c>
    </row>
    <row r="1727" spans="1:5" x14ac:dyDescent="0.3">
      <c r="A1727" s="1">
        <v>45210</v>
      </c>
      <c r="B1727" s="37">
        <v>140.18299999999999</v>
      </c>
      <c r="C1727" s="37">
        <v>140.18299999999999</v>
      </c>
      <c r="D1727" s="37">
        <v>140.18299999999999</v>
      </c>
      <c r="E1727" s="37">
        <v>140.18299999999999</v>
      </c>
    </row>
    <row r="1728" spans="1:5" x14ac:dyDescent="0.3">
      <c r="A1728" s="2">
        <v>45211</v>
      </c>
      <c r="B1728" s="36">
        <v>140.7303</v>
      </c>
      <c r="C1728" s="36">
        <v>140.7303</v>
      </c>
      <c r="D1728" s="36">
        <v>140.7303</v>
      </c>
      <c r="E1728" s="36">
        <v>140.7303</v>
      </c>
    </row>
    <row r="1729" spans="1:5" x14ac:dyDescent="0.3">
      <c r="A1729" s="1">
        <v>45212</v>
      </c>
      <c r="B1729" s="37">
        <v>141.27969999999999</v>
      </c>
      <c r="C1729" s="37">
        <v>141.27969999999999</v>
      </c>
      <c r="D1729" s="37">
        <v>141.27969999999999</v>
      </c>
      <c r="E1729" s="37">
        <v>141.27969999999999</v>
      </c>
    </row>
    <row r="1730" spans="1:5" x14ac:dyDescent="0.3">
      <c r="A1730" s="2">
        <v>45213</v>
      </c>
      <c r="B1730" s="36">
        <v>141.8312</v>
      </c>
      <c r="C1730" s="36">
        <v>141.8312</v>
      </c>
      <c r="D1730" s="36">
        <v>141.8312</v>
      </c>
      <c r="E1730" s="36">
        <v>141.8312</v>
      </c>
    </row>
    <row r="1731" spans="1:5" x14ac:dyDescent="0.3">
      <c r="A1731" s="1">
        <v>45214</v>
      </c>
      <c r="B1731" s="37">
        <v>142.38499999999999</v>
      </c>
      <c r="C1731" s="37">
        <v>142.38499999999999</v>
      </c>
      <c r="D1731" s="37">
        <v>142.38499999999999</v>
      </c>
      <c r="E1731" s="37">
        <v>142.38499999999999</v>
      </c>
    </row>
    <row r="1732" spans="1:5" x14ac:dyDescent="0.3">
      <c r="A1732" s="2">
        <v>45215</v>
      </c>
      <c r="B1732" s="36">
        <v>142.93520000000001</v>
      </c>
      <c r="C1732" s="36">
        <v>142.93520000000001</v>
      </c>
      <c r="D1732" s="36">
        <v>142.93520000000001</v>
      </c>
      <c r="E1732" s="36">
        <v>142.93520000000001</v>
      </c>
    </row>
    <row r="1733" spans="1:5" x14ac:dyDescent="0.3">
      <c r="A1733" s="1">
        <v>45216</v>
      </c>
      <c r="B1733" s="37">
        <v>143.48750000000001</v>
      </c>
      <c r="C1733" s="37">
        <v>143.48750000000001</v>
      </c>
      <c r="D1733" s="37">
        <v>143.48750000000001</v>
      </c>
      <c r="E1733" s="37">
        <v>143.48750000000001</v>
      </c>
    </row>
    <row r="1734" spans="1:5" x14ac:dyDescent="0.3">
      <c r="A1734" s="2">
        <v>45217</v>
      </c>
      <c r="B1734" s="36">
        <v>144.042</v>
      </c>
      <c r="C1734" s="36">
        <v>144.042</v>
      </c>
      <c r="D1734" s="36">
        <v>144.042</v>
      </c>
      <c r="E1734" s="36">
        <v>144.042</v>
      </c>
    </row>
    <row r="1735" spans="1:5" x14ac:dyDescent="0.3">
      <c r="A1735" s="1">
        <v>45218</v>
      </c>
      <c r="B1735" s="37">
        <v>144.5986</v>
      </c>
      <c r="C1735" s="37">
        <v>144.5986</v>
      </c>
      <c r="D1735" s="37">
        <v>144.5986</v>
      </c>
      <c r="E1735" s="37">
        <v>144.5986</v>
      </c>
    </row>
    <row r="1736" spans="1:5" x14ac:dyDescent="0.3">
      <c r="A1736" s="2">
        <v>45219</v>
      </c>
      <c r="B1736" s="36">
        <v>145.15729999999999</v>
      </c>
      <c r="C1736" s="36">
        <v>145.15729999999999</v>
      </c>
      <c r="D1736" s="36">
        <v>145.15729999999999</v>
      </c>
      <c r="E1736" s="36">
        <v>145.15729999999999</v>
      </c>
    </row>
    <row r="1737" spans="1:5" x14ac:dyDescent="0.3">
      <c r="A1737" s="1">
        <v>45220</v>
      </c>
      <c r="B1737" s="37">
        <v>145.7182</v>
      </c>
      <c r="C1737" s="37">
        <v>145.7182</v>
      </c>
      <c r="D1737" s="37">
        <v>145.7182</v>
      </c>
      <c r="E1737" s="37">
        <v>145.7182</v>
      </c>
    </row>
    <row r="1738" spans="1:5" x14ac:dyDescent="0.3">
      <c r="A1738" s="2">
        <v>45221</v>
      </c>
      <c r="B1738" s="36">
        <v>146.28129999999999</v>
      </c>
      <c r="C1738" s="36">
        <v>146.28129999999999</v>
      </c>
      <c r="D1738" s="36">
        <v>146.28129999999999</v>
      </c>
      <c r="E1738" s="36">
        <v>146.28129999999999</v>
      </c>
    </row>
    <row r="1739" spans="1:5" x14ac:dyDescent="0.3">
      <c r="A1739" s="1">
        <v>45222</v>
      </c>
      <c r="B1739" s="37">
        <v>146.8466</v>
      </c>
      <c r="C1739" s="37">
        <v>146.8466</v>
      </c>
      <c r="D1739" s="37">
        <v>146.8466</v>
      </c>
      <c r="E1739" s="37">
        <v>146.8466</v>
      </c>
    </row>
    <row r="1740" spans="1:5" x14ac:dyDescent="0.3">
      <c r="A1740" s="2">
        <v>45223</v>
      </c>
      <c r="B1740" s="36">
        <v>147.41399999999999</v>
      </c>
      <c r="C1740" s="36">
        <v>147.41399999999999</v>
      </c>
      <c r="D1740" s="36">
        <v>147.41399999999999</v>
      </c>
      <c r="E1740" s="36">
        <v>147.41399999999999</v>
      </c>
    </row>
    <row r="1741" spans="1:5" x14ac:dyDescent="0.3">
      <c r="A1741" s="1">
        <v>45224</v>
      </c>
      <c r="B1741" s="37">
        <v>147.9837</v>
      </c>
      <c r="C1741" s="37">
        <v>147.9837</v>
      </c>
      <c r="D1741" s="37">
        <v>147.9837</v>
      </c>
      <c r="E1741" s="37">
        <v>147.9837</v>
      </c>
    </row>
    <row r="1742" spans="1:5" x14ac:dyDescent="0.3">
      <c r="A1742" s="2">
        <v>45225</v>
      </c>
      <c r="B1742" s="36">
        <v>148.55549999999999</v>
      </c>
      <c r="C1742" s="36">
        <v>148.55549999999999</v>
      </c>
      <c r="D1742" s="36">
        <v>148.55549999999999</v>
      </c>
      <c r="E1742" s="36">
        <v>148.55549999999999</v>
      </c>
    </row>
    <row r="1743" spans="1:5" x14ac:dyDescent="0.3">
      <c r="A1743" s="1">
        <v>45226</v>
      </c>
      <c r="B1743" s="37">
        <v>149.12950000000001</v>
      </c>
      <c r="C1743" s="37">
        <v>149.12950000000001</v>
      </c>
      <c r="D1743" s="37">
        <v>149.12950000000001</v>
      </c>
      <c r="E1743" s="37">
        <v>149.12950000000001</v>
      </c>
    </row>
    <row r="1744" spans="1:5" x14ac:dyDescent="0.3">
      <c r="A1744" s="2">
        <v>45227</v>
      </c>
      <c r="B1744" s="36">
        <v>149.70580000000001</v>
      </c>
      <c r="C1744" s="36">
        <v>149.70580000000001</v>
      </c>
      <c r="D1744" s="36">
        <v>149.70580000000001</v>
      </c>
      <c r="E1744" s="36">
        <v>149.70580000000001</v>
      </c>
    </row>
    <row r="1745" spans="1:5" x14ac:dyDescent="0.3">
      <c r="A1745" s="1">
        <v>45228</v>
      </c>
      <c r="B1745" s="37">
        <v>150.2843</v>
      </c>
      <c r="C1745" s="37">
        <v>150.2843</v>
      </c>
      <c r="D1745" s="37">
        <v>150.2843</v>
      </c>
      <c r="E1745" s="37">
        <v>150.2843</v>
      </c>
    </row>
    <row r="1746" spans="1:5" x14ac:dyDescent="0.3">
      <c r="A1746" s="2">
        <v>45229</v>
      </c>
      <c r="B1746" s="36">
        <v>150.86500000000001</v>
      </c>
      <c r="C1746" s="36">
        <v>150.86500000000001</v>
      </c>
      <c r="D1746" s="36">
        <v>150.86500000000001</v>
      </c>
      <c r="E1746" s="36">
        <v>150.86500000000001</v>
      </c>
    </row>
    <row r="1747" spans="1:5" x14ac:dyDescent="0.3">
      <c r="A1747" s="1">
        <v>45230</v>
      </c>
      <c r="B1747" s="37">
        <v>151.44800000000001</v>
      </c>
      <c r="C1747" s="37">
        <v>151.44800000000001</v>
      </c>
      <c r="D1747" s="37">
        <v>151.44800000000001</v>
      </c>
      <c r="E1747" s="37">
        <v>151.44800000000001</v>
      </c>
    </row>
    <row r="1748" spans="1:5" x14ac:dyDescent="0.3">
      <c r="A1748" s="2">
        <v>45231</v>
      </c>
      <c r="B1748" s="36">
        <v>152.03319999999999</v>
      </c>
      <c r="C1748" s="36">
        <v>152.03319999999999</v>
      </c>
      <c r="D1748" s="36">
        <v>152.03319999999999</v>
      </c>
      <c r="E1748" s="36">
        <v>152.03319999999999</v>
      </c>
    </row>
    <row r="1749" spans="1:5" x14ac:dyDescent="0.3">
      <c r="A1749" s="1">
        <v>45232</v>
      </c>
      <c r="B1749" s="37">
        <v>152.6207</v>
      </c>
      <c r="C1749" s="37">
        <v>152.6207</v>
      </c>
      <c r="D1749" s="37">
        <v>152.6207</v>
      </c>
      <c r="E1749" s="37">
        <v>152.6207</v>
      </c>
    </row>
    <row r="1750" spans="1:5" x14ac:dyDescent="0.3">
      <c r="A1750" s="2">
        <v>45233</v>
      </c>
      <c r="B1750" s="36">
        <v>153.2105</v>
      </c>
      <c r="C1750" s="36">
        <v>153.2105</v>
      </c>
      <c r="D1750" s="36">
        <v>153.2105</v>
      </c>
      <c r="E1750" s="36">
        <v>153.2105</v>
      </c>
    </row>
    <row r="1751" spans="1:5" x14ac:dyDescent="0.3">
      <c r="A1751" s="1">
        <v>45234</v>
      </c>
      <c r="B1751" s="37">
        <v>153.80250000000001</v>
      </c>
      <c r="C1751" s="37">
        <v>153.80250000000001</v>
      </c>
      <c r="D1751" s="37">
        <v>153.80250000000001</v>
      </c>
      <c r="E1751" s="37">
        <v>153.80250000000001</v>
      </c>
    </row>
    <row r="1752" spans="1:5" x14ac:dyDescent="0.3">
      <c r="A1752" s="2">
        <v>45235</v>
      </c>
      <c r="B1752" s="36">
        <v>154.39680000000001</v>
      </c>
      <c r="C1752" s="36">
        <v>154.39680000000001</v>
      </c>
      <c r="D1752" s="36">
        <v>154.39680000000001</v>
      </c>
      <c r="E1752" s="36">
        <v>154.39680000000001</v>
      </c>
    </row>
    <row r="1753" spans="1:5" x14ac:dyDescent="0.3">
      <c r="A1753" s="1">
        <v>45236</v>
      </c>
      <c r="B1753" s="37">
        <v>154.99340000000001</v>
      </c>
      <c r="C1753" s="37">
        <v>154.99340000000001</v>
      </c>
      <c r="D1753" s="37">
        <v>154.99340000000001</v>
      </c>
      <c r="E1753" s="37">
        <v>154.99340000000001</v>
      </c>
    </row>
    <row r="1754" spans="1:5" x14ac:dyDescent="0.3">
      <c r="A1754" s="2">
        <v>45237</v>
      </c>
      <c r="B1754" s="36">
        <v>155.5924</v>
      </c>
      <c r="C1754" s="36">
        <v>155.5924</v>
      </c>
      <c r="D1754" s="36">
        <v>155.5924</v>
      </c>
      <c r="E1754" s="36">
        <v>155.5924</v>
      </c>
    </row>
    <row r="1755" spans="1:5" x14ac:dyDescent="0.3">
      <c r="A1755" s="1">
        <v>45238</v>
      </c>
      <c r="B1755" s="37">
        <v>156.1936</v>
      </c>
      <c r="C1755" s="37">
        <v>156.1936</v>
      </c>
      <c r="D1755" s="37">
        <v>156.1936</v>
      </c>
      <c r="E1755" s="37">
        <v>156.1936</v>
      </c>
    </row>
    <row r="1756" spans="1:5" x14ac:dyDescent="0.3">
      <c r="A1756" s="2">
        <v>45239</v>
      </c>
      <c r="B1756" s="36">
        <v>156.7972</v>
      </c>
      <c r="C1756" s="36">
        <v>156.7972</v>
      </c>
      <c r="D1756" s="36">
        <v>156.7972</v>
      </c>
      <c r="E1756" s="36">
        <v>156.7972</v>
      </c>
    </row>
    <row r="1757" spans="1:5" x14ac:dyDescent="0.3">
      <c r="A1757" s="1">
        <v>45240</v>
      </c>
      <c r="B1757" s="37">
        <v>157.40309999999999</v>
      </c>
      <c r="C1757" s="37">
        <v>157.40309999999999</v>
      </c>
      <c r="D1757" s="37">
        <v>157.40309999999999</v>
      </c>
      <c r="E1757" s="37">
        <v>157.40309999999999</v>
      </c>
    </row>
    <row r="1758" spans="1:5" x14ac:dyDescent="0.3">
      <c r="A1758" s="2">
        <v>45241</v>
      </c>
      <c r="B1758" s="36">
        <v>158.01130000000001</v>
      </c>
      <c r="C1758" s="36">
        <v>158.01130000000001</v>
      </c>
      <c r="D1758" s="36">
        <v>158.01130000000001</v>
      </c>
      <c r="E1758" s="36">
        <v>158.01130000000001</v>
      </c>
    </row>
    <row r="1759" spans="1:5" x14ac:dyDescent="0.3">
      <c r="A1759" s="1">
        <v>45242</v>
      </c>
      <c r="B1759" s="37">
        <v>158.62190000000001</v>
      </c>
      <c r="C1759" s="37">
        <v>158.62190000000001</v>
      </c>
      <c r="D1759" s="37">
        <v>158.62190000000001</v>
      </c>
      <c r="E1759" s="37">
        <v>158.62190000000001</v>
      </c>
    </row>
    <row r="1760" spans="1:5" x14ac:dyDescent="0.3">
      <c r="A1760" s="2">
        <v>45243</v>
      </c>
      <c r="B1760" s="36">
        <v>159.23480000000001</v>
      </c>
      <c r="C1760" s="36">
        <v>159.23480000000001</v>
      </c>
      <c r="D1760" s="36">
        <v>159.23480000000001</v>
      </c>
      <c r="E1760" s="36">
        <v>159.23480000000001</v>
      </c>
    </row>
    <row r="1761" spans="1:5" x14ac:dyDescent="0.3">
      <c r="A1761" s="1">
        <v>45244</v>
      </c>
      <c r="B1761" s="37">
        <v>159.8502</v>
      </c>
      <c r="C1761" s="37">
        <v>159.8502</v>
      </c>
      <c r="D1761" s="37">
        <v>159.8502</v>
      </c>
      <c r="E1761" s="37">
        <v>159.8502</v>
      </c>
    </row>
    <row r="1762" spans="1:5" x14ac:dyDescent="0.3">
      <c r="A1762" s="2">
        <v>45245</v>
      </c>
      <c r="B1762" s="36">
        <v>160.46780000000001</v>
      </c>
      <c r="C1762" s="36">
        <v>160.46780000000001</v>
      </c>
      <c r="D1762" s="36">
        <v>160.46780000000001</v>
      </c>
      <c r="E1762" s="36">
        <v>160.46780000000001</v>
      </c>
    </row>
    <row r="1763" spans="1:5" x14ac:dyDescent="0.3">
      <c r="A1763" s="1">
        <v>45246</v>
      </c>
      <c r="B1763" s="37">
        <v>160.89490000000001</v>
      </c>
      <c r="C1763" s="37">
        <v>160.89490000000001</v>
      </c>
      <c r="D1763" s="37">
        <v>160.89490000000001</v>
      </c>
      <c r="E1763" s="37">
        <v>160.89490000000001</v>
      </c>
    </row>
    <row r="1764" spans="1:5" x14ac:dyDescent="0.3">
      <c r="A1764" s="2">
        <v>45247</v>
      </c>
      <c r="B1764" s="36">
        <v>161.32310000000001</v>
      </c>
      <c r="C1764" s="36">
        <v>161.32310000000001</v>
      </c>
      <c r="D1764" s="36">
        <v>161.32310000000001</v>
      </c>
      <c r="E1764" s="36">
        <v>161.32310000000001</v>
      </c>
    </row>
    <row r="1765" spans="1:5" x14ac:dyDescent="0.3">
      <c r="A1765" s="1">
        <v>45248</v>
      </c>
      <c r="B1765" s="37">
        <v>161.75239999999999</v>
      </c>
      <c r="C1765" s="37">
        <v>161.75239999999999</v>
      </c>
      <c r="D1765" s="37">
        <v>161.75239999999999</v>
      </c>
      <c r="E1765" s="37">
        <v>161.75239999999999</v>
      </c>
    </row>
    <row r="1766" spans="1:5" x14ac:dyDescent="0.3">
      <c r="A1766" s="2">
        <v>45249</v>
      </c>
      <c r="B1766" s="36">
        <v>162.18289999999999</v>
      </c>
      <c r="C1766" s="36">
        <v>162.18289999999999</v>
      </c>
      <c r="D1766" s="36">
        <v>162.18289999999999</v>
      </c>
      <c r="E1766" s="36">
        <v>162.18289999999999</v>
      </c>
    </row>
    <row r="1767" spans="1:5" x14ac:dyDescent="0.3">
      <c r="A1767" s="1">
        <v>45250</v>
      </c>
      <c r="B1767" s="37">
        <v>162.6146</v>
      </c>
      <c r="C1767" s="37">
        <v>162.6146</v>
      </c>
      <c r="D1767" s="37">
        <v>162.6146</v>
      </c>
      <c r="E1767" s="37">
        <v>162.6146</v>
      </c>
    </row>
    <row r="1768" spans="1:5" x14ac:dyDescent="0.3">
      <c r="A1768" s="2">
        <v>45251</v>
      </c>
      <c r="B1768" s="36">
        <v>163.04730000000001</v>
      </c>
      <c r="C1768" s="36">
        <v>163.04730000000001</v>
      </c>
      <c r="D1768" s="36">
        <v>163.04730000000001</v>
      </c>
      <c r="E1768" s="36">
        <v>163.04730000000001</v>
      </c>
    </row>
    <row r="1769" spans="1:5" x14ac:dyDescent="0.3">
      <c r="A1769" s="1">
        <v>45252</v>
      </c>
      <c r="B1769" s="37">
        <v>163.4813</v>
      </c>
      <c r="C1769" s="37">
        <v>163.4813</v>
      </c>
      <c r="D1769" s="37">
        <v>163.4813</v>
      </c>
      <c r="E1769" s="37">
        <v>163.4813</v>
      </c>
    </row>
    <row r="1770" spans="1:5" x14ac:dyDescent="0.3">
      <c r="A1770" s="2">
        <v>45253</v>
      </c>
      <c r="B1770" s="36">
        <v>163.91630000000001</v>
      </c>
      <c r="C1770" s="36">
        <v>163.91630000000001</v>
      </c>
      <c r="D1770" s="36">
        <v>163.91630000000001</v>
      </c>
      <c r="E1770" s="36">
        <v>163.91630000000001</v>
      </c>
    </row>
    <row r="1771" spans="1:5" x14ac:dyDescent="0.3">
      <c r="A1771" s="1">
        <v>45254</v>
      </c>
      <c r="B1771" s="37">
        <v>164.3526</v>
      </c>
      <c r="C1771" s="37">
        <v>164.3526</v>
      </c>
      <c r="D1771" s="37">
        <v>164.3526</v>
      </c>
      <c r="E1771" s="37">
        <v>164.3526</v>
      </c>
    </row>
    <row r="1772" spans="1:5" x14ac:dyDescent="0.3">
      <c r="A1772" s="2">
        <v>45255</v>
      </c>
      <c r="B1772" s="36">
        <v>164.79</v>
      </c>
      <c r="C1772" s="36">
        <v>164.79</v>
      </c>
      <c r="D1772" s="36">
        <v>164.79</v>
      </c>
      <c r="E1772" s="36">
        <v>164.79</v>
      </c>
    </row>
    <row r="1773" spans="1:5" x14ac:dyDescent="0.3">
      <c r="A1773" s="1">
        <v>45256</v>
      </c>
      <c r="B1773" s="37">
        <v>165.2286</v>
      </c>
      <c r="C1773" s="37">
        <v>165.2286</v>
      </c>
      <c r="D1773" s="37">
        <v>165.2286</v>
      </c>
      <c r="E1773" s="37">
        <v>165.2286</v>
      </c>
    </row>
    <row r="1774" spans="1:5" x14ac:dyDescent="0.3">
      <c r="A1774" s="2">
        <v>45257</v>
      </c>
      <c r="B1774" s="36">
        <v>165.66829999999999</v>
      </c>
      <c r="C1774" s="36">
        <v>165.66829999999999</v>
      </c>
      <c r="D1774" s="36">
        <v>165.66829999999999</v>
      </c>
      <c r="E1774" s="36">
        <v>165.66829999999999</v>
      </c>
    </row>
    <row r="1775" spans="1:5" x14ac:dyDescent="0.3">
      <c r="A1775" s="1">
        <v>45258</v>
      </c>
      <c r="B1775" s="37">
        <v>166.10919999999999</v>
      </c>
      <c r="C1775" s="37">
        <v>166.10919999999999</v>
      </c>
      <c r="D1775" s="37">
        <v>166.10919999999999</v>
      </c>
      <c r="E1775" s="37">
        <v>166.10919999999999</v>
      </c>
    </row>
    <row r="1776" spans="1:5" x14ac:dyDescent="0.3">
      <c r="A1776" s="2">
        <v>45259</v>
      </c>
      <c r="B1776" s="36">
        <v>166.5513</v>
      </c>
      <c r="C1776" s="36">
        <v>166.5513</v>
      </c>
      <c r="D1776" s="36">
        <v>166.5513</v>
      </c>
      <c r="E1776" s="36">
        <v>166.5513</v>
      </c>
    </row>
    <row r="1777" spans="1:5" x14ac:dyDescent="0.3">
      <c r="A1777" s="1">
        <v>45260</v>
      </c>
      <c r="B1777" s="37">
        <v>166.99449999999999</v>
      </c>
      <c r="C1777" s="37">
        <v>166.99449999999999</v>
      </c>
      <c r="D1777" s="37">
        <v>166.99449999999999</v>
      </c>
      <c r="E1777" s="37">
        <v>166.99449999999999</v>
      </c>
    </row>
    <row r="1778" spans="1:5" x14ac:dyDescent="0.3">
      <c r="A1778" s="2">
        <v>45261</v>
      </c>
      <c r="B1778" s="36">
        <v>167.43899999999999</v>
      </c>
      <c r="C1778" s="36">
        <v>167.43899999999999</v>
      </c>
      <c r="D1778" s="36">
        <v>167.43899999999999</v>
      </c>
      <c r="E1778" s="36">
        <v>167.43899999999999</v>
      </c>
    </row>
    <row r="1779" spans="1:5" x14ac:dyDescent="0.3">
      <c r="A1779" s="1">
        <v>45262</v>
      </c>
      <c r="B1779" s="37">
        <v>167.88460000000001</v>
      </c>
      <c r="C1779" s="37">
        <v>167.88460000000001</v>
      </c>
      <c r="D1779" s="37">
        <v>167.88460000000001</v>
      </c>
      <c r="E1779" s="37">
        <v>167.88460000000001</v>
      </c>
    </row>
    <row r="1780" spans="1:5" x14ac:dyDescent="0.3">
      <c r="A1780" s="2">
        <v>45263</v>
      </c>
      <c r="B1780" s="36">
        <v>168.3314</v>
      </c>
      <c r="C1780" s="36">
        <v>168.3314</v>
      </c>
      <c r="D1780" s="36">
        <v>168.3314</v>
      </c>
      <c r="E1780" s="36">
        <v>168.3314</v>
      </c>
    </row>
    <row r="1781" spans="1:5" x14ac:dyDescent="0.3">
      <c r="A1781" s="1">
        <v>45264</v>
      </c>
      <c r="B1781" s="37">
        <v>168.77940000000001</v>
      </c>
      <c r="C1781" s="37">
        <v>168.77940000000001</v>
      </c>
      <c r="D1781" s="37">
        <v>168.77940000000001</v>
      </c>
      <c r="E1781" s="37">
        <v>168.77940000000001</v>
      </c>
    </row>
    <row r="1782" spans="1:5" x14ac:dyDescent="0.3">
      <c r="A1782" s="2">
        <v>45265</v>
      </c>
      <c r="B1782" s="36">
        <v>169.2286</v>
      </c>
      <c r="C1782" s="36">
        <v>169.2286</v>
      </c>
      <c r="D1782" s="36">
        <v>169.2286</v>
      </c>
      <c r="E1782" s="36">
        <v>169.2286</v>
      </c>
    </row>
    <row r="1783" spans="1:5" x14ac:dyDescent="0.3">
      <c r="A1783" s="1">
        <v>45266</v>
      </c>
      <c r="B1783" s="37">
        <v>169.6789</v>
      </c>
      <c r="C1783" s="37">
        <v>169.6789</v>
      </c>
      <c r="D1783" s="37">
        <v>169.6789</v>
      </c>
      <c r="E1783" s="37">
        <v>169.6789</v>
      </c>
    </row>
    <row r="1784" spans="1:5" x14ac:dyDescent="0.3">
      <c r="A1784" s="2">
        <v>45267</v>
      </c>
      <c r="B1784" s="36">
        <v>170.13050000000001</v>
      </c>
      <c r="C1784" s="36">
        <v>170.13050000000001</v>
      </c>
      <c r="D1784" s="36">
        <v>170.13050000000001</v>
      </c>
      <c r="E1784" s="36">
        <v>170.13050000000001</v>
      </c>
    </row>
    <row r="1785" spans="1:5" x14ac:dyDescent="0.3">
      <c r="A1785" s="1">
        <v>45268</v>
      </c>
      <c r="B1785" s="37">
        <v>170.58330000000001</v>
      </c>
      <c r="C1785" s="37">
        <v>170.58330000000001</v>
      </c>
      <c r="D1785" s="37">
        <v>170.58330000000001</v>
      </c>
      <c r="E1785" s="37">
        <v>170.58330000000001</v>
      </c>
    </row>
    <row r="1786" spans="1:5" x14ac:dyDescent="0.3">
      <c r="A1786" s="2">
        <v>45269</v>
      </c>
      <c r="B1786" s="36">
        <v>171.03729999999999</v>
      </c>
      <c r="C1786" s="36">
        <v>171.03729999999999</v>
      </c>
      <c r="D1786" s="36">
        <v>171.03729999999999</v>
      </c>
      <c r="E1786" s="36">
        <v>171.03729999999999</v>
      </c>
    </row>
    <row r="1787" spans="1:5" x14ac:dyDescent="0.3">
      <c r="A1787" s="1">
        <v>45270</v>
      </c>
      <c r="B1787" s="37">
        <v>171.49250000000001</v>
      </c>
      <c r="C1787" s="37">
        <v>171.49250000000001</v>
      </c>
      <c r="D1787" s="37">
        <v>171.49250000000001</v>
      </c>
      <c r="E1787" s="37">
        <v>171.49250000000001</v>
      </c>
    </row>
    <row r="1788" spans="1:5" x14ac:dyDescent="0.3">
      <c r="A1788" s="2">
        <v>45271</v>
      </c>
      <c r="B1788" s="36">
        <v>171.94890000000001</v>
      </c>
      <c r="C1788" s="36">
        <v>171.94890000000001</v>
      </c>
      <c r="D1788" s="36">
        <v>171.94890000000001</v>
      </c>
      <c r="E1788" s="36">
        <v>171.94890000000001</v>
      </c>
    </row>
    <row r="1789" spans="1:5" x14ac:dyDescent="0.3">
      <c r="A1789" s="1">
        <v>45272</v>
      </c>
      <c r="B1789" s="37">
        <v>172.40649999999999</v>
      </c>
      <c r="C1789" s="37">
        <v>172.40649999999999</v>
      </c>
      <c r="D1789" s="37">
        <v>172.40649999999999</v>
      </c>
      <c r="E1789" s="37">
        <v>172.40649999999999</v>
      </c>
    </row>
    <row r="1790" spans="1:5" x14ac:dyDescent="0.3">
      <c r="A1790" s="2">
        <v>45273</v>
      </c>
      <c r="B1790" s="36">
        <v>172.86529999999999</v>
      </c>
      <c r="C1790" s="36">
        <v>172.86529999999999</v>
      </c>
      <c r="D1790" s="36">
        <v>172.86529999999999</v>
      </c>
      <c r="E1790" s="36">
        <v>172.86529999999999</v>
      </c>
    </row>
    <row r="1791" spans="1:5" x14ac:dyDescent="0.3">
      <c r="A1791" s="1">
        <v>45274</v>
      </c>
      <c r="B1791" s="37">
        <v>173.3254</v>
      </c>
      <c r="C1791" s="37">
        <v>173.3254</v>
      </c>
      <c r="D1791" s="37">
        <v>173.3254</v>
      </c>
      <c r="E1791" s="37">
        <v>173.3254</v>
      </c>
    </row>
    <row r="1792" spans="1:5" x14ac:dyDescent="0.3">
      <c r="A1792" s="2">
        <v>45275</v>
      </c>
      <c r="B1792" s="36">
        <v>173.7867</v>
      </c>
      <c r="C1792" s="36">
        <v>173.7867</v>
      </c>
      <c r="D1792" s="36">
        <v>173.7867</v>
      </c>
      <c r="E1792" s="36">
        <v>173.7867</v>
      </c>
    </row>
    <row r="1793" spans="1:5" x14ac:dyDescent="0.3">
      <c r="A1793" s="1">
        <v>45276</v>
      </c>
      <c r="B1793" s="37">
        <v>174.4632</v>
      </c>
      <c r="C1793" s="37">
        <v>174.4632</v>
      </c>
      <c r="D1793" s="37">
        <v>174.4632</v>
      </c>
      <c r="E1793" s="37">
        <v>174.4632</v>
      </c>
    </row>
    <row r="1794" spans="1:5" x14ac:dyDescent="0.3">
      <c r="A1794" s="2">
        <v>45277</v>
      </c>
      <c r="B1794" s="36">
        <v>175.14240000000001</v>
      </c>
      <c r="C1794" s="36">
        <v>175.14240000000001</v>
      </c>
      <c r="D1794" s="36">
        <v>175.14240000000001</v>
      </c>
      <c r="E1794" s="36">
        <v>175.14240000000001</v>
      </c>
    </row>
    <row r="1795" spans="1:5" x14ac:dyDescent="0.3">
      <c r="A1795" s="1">
        <v>45278</v>
      </c>
      <c r="B1795" s="37">
        <v>175.82419999999999</v>
      </c>
      <c r="C1795" s="37">
        <v>175.82419999999999</v>
      </c>
      <c r="D1795" s="37">
        <v>175.82419999999999</v>
      </c>
      <c r="E1795" s="37">
        <v>175.82419999999999</v>
      </c>
    </row>
    <row r="1796" spans="1:5" x14ac:dyDescent="0.3">
      <c r="A1796" s="2">
        <v>45279</v>
      </c>
      <c r="B1796" s="36">
        <v>176.5087</v>
      </c>
      <c r="C1796" s="36">
        <v>176.5087</v>
      </c>
      <c r="D1796" s="36">
        <v>176.5087</v>
      </c>
      <c r="E1796" s="36">
        <v>176.5087</v>
      </c>
    </row>
    <row r="1797" spans="1:5" x14ac:dyDescent="0.3">
      <c r="A1797" s="1">
        <v>45280</v>
      </c>
      <c r="B1797" s="37">
        <v>177.19579999999999</v>
      </c>
      <c r="C1797" s="37">
        <v>177.19579999999999</v>
      </c>
      <c r="D1797" s="37">
        <v>177.19579999999999</v>
      </c>
      <c r="E1797" s="37">
        <v>177.19579999999999</v>
      </c>
    </row>
    <row r="1798" spans="1:5" x14ac:dyDescent="0.3">
      <c r="A1798" s="2">
        <v>45281</v>
      </c>
      <c r="B1798" s="36">
        <v>177.88560000000001</v>
      </c>
      <c r="C1798" s="36">
        <v>177.88560000000001</v>
      </c>
      <c r="D1798" s="36">
        <v>177.88560000000001</v>
      </c>
      <c r="E1798" s="36">
        <v>177.88560000000001</v>
      </c>
    </row>
    <row r="1799" spans="1:5" x14ac:dyDescent="0.3">
      <c r="A1799" s="1">
        <v>45282</v>
      </c>
      <c r="B1799" s="37">
        <v>178.57810000000001</v>
      </c>
      <c r="C1799" s="37">
        <v>178.57810000000001</v>
      </c>
      <c r="D1799" s="37">
        <v>178.57810000000001</v>
      </c>
      <c r="E1799" s="37">
        <v>178.57810000000001</v>
      </c>
    </row>
    <row r="1800" spans="1:5" x14ac:dyDescent="0.3">
      <c r="A1800" s="2">
        <v>45283</v>
      </c>
      <c r="B1800" s="36">
        <v>179.27330000000001</v>
      </c>
      <c r="C1800" s="36">
        <v>179.27330000000001</v>
      </c>
      <c r="D1800" s="36">
        <v>179.27330000000001</v>
      </c>
      <c r="E1800" s="36">
        <v>179.27330000000001</v>
      </c>
    </row>
    <row r="1801" spans="1:5" x14ac:dyDescent="0.3">
      <c r="A1801" s="1">
        <v>45284</v>
      </c>
      <c r="B1801" s="37">
        <v>179.97120000000001</v>
      </c>
      <c r="C1801" s="37">
        <v>179.97120000000001</v>
      </c>
      <c r="D1801" s="37">
        <v>179.97120000000001</v>
      </c>
      <c r="E1801" s="37">
        <v>179.97120000000001</v>
      </c>
    </row>
    <row r="1802" spans="1:5" x14ac:dyDescent="0.3">
      <c r="A1802" s="2">
        <v>45285</v>
      </c>
      <c r="B1802" s="36">
        <v>180.67179999999999</v>
      </c>
      <c r="C1802" s="36">
        <v>180.67179999999999</v>
      </c>
      <c r="D1802" s="36">
        <v>180.67179999999999</v>
      </c>
      <c r="E1802" s="36">
        <v>180.67179999999999</v>
      </c>
    </row>
    <row r="1803" spans="1:5" x14ac:dyDescent="0.3">
      <c r="A1803" s="1">
        <v>45286</v>
      </c>
      <c r="B1803" s="37">
        <v>181.3751</v>
      </c>
      <c r="C1803" s="37">
        <v>181.3751</v>
      </c>
      <c r="D1803" s="37">
        <v>181.3751</v>
      </c>
      <c r="E1803" s="37">
        <v>181.3751</v>
      </c>
    </row>
    <row r="1804" spans="1:5" x14ac:dyDescent="0.3">
      <c r="A1804" s="2">
        <v>45287</v>
      </c>
      <c r="B1804" s="36">
        <v>182.0812</v>
      </c>
      <c r="C1804" s="36">
        <v>182.0812</v>
      </c>
      <c r="D1804" s="36">
        <v>182.0812</v>
      </c>
      <c r="E1804" s="36">
        <v>182.0812</v>
      </c>
    </row>
    <row r="1805" spans="1:5" x14ac:dyDescent="0.3">
      <c r="A1805" s="1">
        <v>45288</v>
      </c>
      <c r="B1805" s="37">
        <v>182.79</v>
      </c>
      <c r="C1805" s="37">
        <v>182.79</v>
      </c>
      <c r="D1805" s="37">
        <v>182.79</v>
      </c>
      <c r="E1805" s="37">
        <v>182.79</v>
      </c>
    </row>
    <row r="1806" spans="1:5" x14ac:dyDescent="0.3">
      <c r="A1806" s="2">
        <v>45289</v>
      </c>
      <c r="B1806" s="36">
        <v>183.5016</v>
      </c>
      <c r="C1806" s="36">
        <v>183.5016</v>
      </c>
      <c r="D1806" s="36">
        <v>183.5016</v>
      </c>
      <c r="E1806" s="36">
        <v>183.5016</v>
      </c>
    </row>
    <row r="1807" spans="1:5" x14ac:dyDescent="0.3">
      <c r="A1807" s="1">
        <v>45290</v>
      </c>
      <c r="B1807" s="37">
        <v>184.21600000000001</v>
      </c>
      <c r="C1807" s="37">
        <v>184.21600000000001</v>
      </c>
      <c r="D1807" s="37">
        <v>184.21600000000001</v>
      </c>
      <c r="E1807" s="37">
        <v>184.21600000000001</v>
      </c>
    </row>
    <row r="1808" spans="1:5" x14ac:dyDescent="0.3">
      <c r="A1808" s="2">
        <v>45291</v>
      </c>
      <c r="B1808" s="36">
        <v>184.9331</v>
      </c>
      <c r="C1808" s="36">
        <v>184.9331</v>
      </c>
      <c r="D1808" s="36">
        <v>184.9331</v>
      </c>
      <c r="E1808" s="36">
        <v>184.9331</v>
      </c>
    </row>
    <row r="1809" spans="1:5" x14ac:dyDescent="0.3">
      <c r="A1809" s="1">
        <v>45292</v>
      </c>
      <c r="B1809" s="37">
        <v>185.65309999999999</v>
      </c>
      <c r="C1809" s="37">
        <v>185.65309999999999</v>
      </c>
      <c r="D1809" s="37">
        <v>185.65309999999999</v>
      </c>
      <c r="E1809" s="37">
        <v>185.65309999999999</v>
      </c>
    </row>
    <row r="1810" spans="1:5" x14ac:dyDescent="0.3">
      <c r="A1810" s="2">
        <v>45293</v>
      </c>
      <c r="B1810" s="36">
        <v>186.3758</v>
      </c>
      <c r="C1810" s="36">
        <v>186.3758</v>
      </c>
      <c r="D1810" s="36">
        <v>186.3758</v>
      </c>
      <c r="E1810" s="36">
        <v>186.3758</v>
      </c>
    </row>
    <row r="1811" spans="1:5" x14ac:dyDescent="0.3">
      <c r="A1811" s="1">
        <v>45294</v>
      </c>
      <c r="B1811" s="37">
        <v>187.10130000000001</v>
      </c>
      <c r="C1811" s="37">
        <v>187.10130000000001</v>
      </c>
      <c r="D1811" s="37">
        <v>187.10130000000001</v>
      </c>
      <c r="E1811" s="37">
        <v>187.10130000000001</v>
      </c>
    </row>
    <row r="1812" spans="1:5" x14ac:dyDescent="0.3">
      <c r="A1812" s="2">
        <v>45295</v>
      </c>
      <c r="B1812" s="36">
        <v>187.8297</v>
      </c>
      <c r="C1812" s="36">
        <v>187.8297</v>
      </c>
      <c r="D1812" s="36">
        <v>187.8297</v>
      </c>
      <c r="E1812" s="36">
        <v>187.8297</v>
      </c>
    </row>
    <row r="1813" spans="1:5" x14ac:dyDescent="0.3">
      <c r="A1813" s="1">
        <v>45296</v>
      </c>
      <c r="B1813" s="37">
        <v>188.5609</v>
      </c>
      <c r="C1813" s="37">
        <v>188.5609</v>
      </c>
      <c r="D1813" s="37">
        <v>188.5609</v>
      </c>
      <c r="E1813" s="37">
        <v>188.5609</v>
      </c>
    </row>
    <row r="1814" spans="1:5" x14ac:dyDescent="0.3">
      <c r="A1814" s="2">
        <v>45297</v>
      </c>
      <c r="B1814" s="36">
        <v>189.29499999999999</v>
      </c>
      <c r="C1814" s="36">
        <v>189.29499999999999</v>
      </c>
      <c r="D1814" s="36">
        <v>189.29499999999999</v>
      </c>
      <c r="E1814" s="36">
        <v>189.29499999999999</v>
      </c>
    </row>
    <row r="1815" spans="1:5" x14ac:dyDescent="0.3">
      <c r="A1815" s="1">
        <v>45298</v>
      </c>
      <c r="B1815" s="37">
        <v>190.03190000000001</v>
      </c>
      <c r="C1815" s="37">
        <v>190.03190000000001</v>
      </c>
      <c r="D1815" s="37">
        <v>190.03190000000001</v>
      </c>
      <c r="E1815" s="37">
        <v>190.03190000000001</v>
      </c>
    </row>
    <row r="1816" spans="1:5" x14ac:dyDescent="0.3">
      <c r="A1816" s="2">
        <v>45299</v>
      </c>
      <c r="B1816" s="36">
        <v>190.77170000000001</v>
      </c>
      <c r="C1816" s="36">
        <v>190.77170000000001</v>
      </c>
      <c r="D1816" s="36">
        <v>190.77170000000001</v>
      </c>
      <c r="E1816" s="36">
        <v>190.77170000000001</v>
      </c>
    </row>
    <row r="1817" spans="1:5" x14ac:dyDescent="0.3">
      <c r="A1817" s="1">
        <v>45300</v>
      </c>
      <c r="B1817" s="37">
        <v>191.51429999999999</v>
      </c>
      <c r="C1817" s="37">
        <v>191.51429999999999</v>
      </c>
      <c r="D1817" s="37">
        <v>191.51429999999999</v>
      </c>
      <c r="E1817" s="37">
        <v>191.51429999999999</v>
      </c>
    </row>
    <row r="1818" spans="1:5" x14ac:dyDescent="0.3">
      <c r="A1818" s="2">
        <v>45301</v>
      </c>
      <c r="B1818" s="36">
        <v>192.25989999999999</v>
      </c>
      <c r="C1818" s="36">
        <v>192.25989999999999</v>
      </c>
      <c r="D1818" s="36">
        <v>192.25989999999999</v>
      </c>
      <c r="E1818" s="36">
        <v>192.25989999999999</v>
      </c>
    </row>
    <row r="1819" spans="1:5" x14ac:dyDescent="0.3">
      <c r="A1819" s="1">
        <v>45302</v>
      </c>
      <c r="B1819" s="37">
        <v>193.00829999999999</v>
      </c>
      <c r="C1819" s="37">
        <v>193.00829999999999</v>
      </c>
      <c r="D1819" s="37">
        <v>193.00829999999999</v>
      </c>
      <c r="E1819" s="37">
        <v>193.00829999999999</v>
      </c>
    </row>
    <row r="1820" spans="1:5" x14ac:dyDescent="0.3">
      <c r="A1820" s="2">
        <v>45303</v>
      </c>
      <c r="B1820" s="36">
        <v>193.75970000000001</v>
      </c>
      <c r="C1820" s="36">
        <v>193.75970000000001</v>
      </c>
      <c r="D1820" s="36">
        <v>193.75970000000001</v>
      </c>
      <c r="E1820" s="36">
        <v>193.75970000000001</v>
      </c>
    </row>
    <row r="1821" spans="1:5" x14ac:dyDescent="0.3">
      <c r="A1821" s="1">
        <v>45304</v>
      </c>
      <c r="B1821" s="37">
        <v>194.51400000000001</v>
      </c>
      <c r="C1821" s="37">
        <v>194.51400000000001</v>
      </c>
      <c r="D1821" s="37">
        <v>194.51400000000001</v>
      </c>
      <c r="E1821" s="37">
        <v>194.51400000000001</v>
      </c>
    </row>
    <row r="1822" spans="1:5" x14ac:dyDescent="0.3">
      <c r="A1822" s="2">
        <v>45305</v>
      </c>
      <c r="B1822" s="36">
        <v>195.27119999999999</v>
      </c>
      <c r="C1822" s="36">
        <v>195.27119999999999</v>
      </c>
      <c r="D1822" s="36">
        <v>195.27119999999999</v>
      </c>
      <c r="E1822" s="36">
        <v>195.27119999999999</v>
      </c>
    </row>
    <row r="1823" spans="1:5" x14ac:dyDescent="0.3">
      <c r="A1823" s="1">
        <v>45306</v>
      </c>
      <c r="B1823" s="37">
        <v>196.03139999999999</v>
      </c>
      <c r="C1823" s="37">
        <v>196.03139999999999</v>
      </c>
      <c r="D1823" s="37">
        <v>196.03139999999999</v>
      </c>
      <c r="E1823" s="37">
        <v>196.03139999999999</v>
      </c>
    </row>
    <row r="1824" spans="1:5" x14ac:dyDescent="0.3">
      <c r="A1824" s="2">
        <v>45307</v>
      </c>
      <c r="B1824" s="36">
        <v>197.47300000000001</v>
      </c>
      <c r="C1824" s="36">
        <v>197.47300000000001</v>
      </c>
      <c r="D1824" s="36">
        <v>197.47300000000001</v>
      </c>
      <c r="E1824" s="36">
        <v>197.47300000000001</v>
      </c>
    </row>
    <row r="1825" spans="1:5" x14ac:dyDescent="0.3">
      <c r="A1825" s="1">
        <v>45308</v>
      </c>
      <c r="B1825" s="37">
        <v>198.92509999999999</v>
      </c>
      <c r="C1825" s="37">
        <v>198.92509999999999</v>
      </c>
      <c r="D1825" s="37">
        <v>198.92509999999999</v>
      </c>
      <c r="E1825" s="37">
        <v>198.92509999999999</v>
      </c>
    </row>
    <row r="1826" spans="1:5" x14ac:dyDescent="0.3">
      <c r="A1826" s="2">
        <v>45309</v>
      </c>
      <c r="B1826" s="36">
        <v>200.38800000000001</v>
      </c>
      <c r="C1826" s="36">
        <v>200.38800000000001</v>
      </c>
      <c r="D1826" s="36">
        <v>200.38800000000001</v>
      </c>
      <c r="E1826" s="36">
        <v>200.38800000000001</v>
      </c>
    </row>
    <row r="1827" spans="1:5" x14ac:dyDescent="0.3">
      <c r="A1827" s="1">
        <v>45310</v>
      </c>
      <c r="B1827" s="37">
        <v>201.86160000000001</v>
      </c>
      <c r="C1827" s="37">
        <v>201.86160000000001</v>
      </c>
      <c r="D1827" s="37">
        <v>201.86160000000001</v>
      </c>
      <c r="E1827" s="37">
        <v>201.86160000000001</v>
      </c>
    </row>
    <row r="1828" spans="1:5" x14ac:dyDescent="0.3">
      <c r="A1828" s="2">
        <v>45311</v>
      </c>
      <c r="B1828" s="36">
        <v>203.34610000000001</v>
      </c>
      <c r="C1828" s="36">
        <v>203.34610000000001</v>
      </c>
      <c r="D1828" s="36">
        <v>203.34610000000001</v>
      </c>
      <c r="E1828" s="36">
        <v>203.34610000000001</v>
      </c>
    </row>
    <row r="1829" spans="1:5" x14ac:dyDescent="0.3">
      <c r="A1829" s="1">
        <v>45312</v>
      </c>
      <c r="B1829" s="37">
        <v>204.8415</v>
      </c>
      <c r="C1829" s="37">
        <v>204.8415</v>
      </c>
      <c r="D1829" s="37">
        <v>204.8415</v>
      </c>
      <c r="E1829" s="37">
        <v>204.8415</v>
      </c>
    </row>
    <row r="1830" spans="1:5" x14ac:dyDescent="0.3">
      <c r="A1830" s="2">
        <v>45313</v>
      </c>
      <c r="B1830" s="36">
        <v>206.34790000000001</v>
      </c>
      <c r="C1830" s="36">
        <v>206.34790000000001</v>
      </c>
      <c r="D1830" s="36">
        <v>206.34790000000001</v>
      </c>
      <c r="E1830" s="36">
        <v>206.34790000000001</v>
      </c>
    </row>
    <row r="1831" spans="1:5" x14ac:dyDescent="0.3">
      <c r="A1831" s="1">
        <v>45314</v>
      </c>
      <c r="B1831" s="37">
        <v>207.86529999999999</v>
      </c>
      <c r="C1831" s="37">
        <v>207.86529999999999</v>
      </c>
      <c r="D1831" s="37">
        <v>207.86529999999999</v>
      </c>
      <c r="E1831" s="37">
        <v>207.86529999999999</v>
      </c>
    </row>
    <row r="1832" spans="1:5" x14ac:dyDescent="0.3">
      <c r="A1832" s="2">
        <v>45315</v>
      </c>
      <c r="B1832" s="36">
        <v>209.3939</v>
      </c>
      <c r="C1832" s="36">
        <v>209.3939</v>
      </c>
      <c r="D1832" s="36">
        <v>209.3939</v>
      </c>
      <c r="E1832" s="36">
        <v>209.3939</v>
      </c>
    </row>
    <row r="1833" spans="1:5" x14ac:dyDescent="0.3">
      <c r="A1833" s="1">
        <v>45316</v>
      </c>
      <c r="B1833" s="37">
        <v>210.93379999999999</v>
      </c>
      <c r="C1833" s="37">
        <v>210.93379999999999</v>
      </c>
      <c r="D1833" s="37">
        <v>210.93379999999999</v>
      </c>
      <c r="E1833" s="37">
        <v>210.93379999999999</v>
      </c>
    </row>
    <row r="1834" spans="1:5" x14ac:dyDescent="0.3">
      <c r="A1834" s="2">
        <v>45317</v>
      </c>
      <c r="B1834" s="36">
        <v>212.48500000000001</v>
      </c>
      <c r="C1834" s="36">
        <v>212.48500000000001</v>
      </c>
      <c r="D1834" s="36">
        <v>212.48500000000001</v>
      </c>
      <c r="E1834" s="36">
        <v>212.48500000000001</v>
      </c>
    </row>
    <row r="1835" spans="1:5" x14ac:dyDescent="0.3">
      <c r="A1835" s="1">
        <v>45318</v>
      </c>
      <c r="B1835" s="37">
        <v>214.04750000000001</v>
      </c>
      <c r="C1835" s="37">
        <v>214.04750000000001</v>
      </c>
      <c r="D1835" s="37">
        <v>214.04750000000001</v>
      </c>
      <c r="E1835" s="37">
        <v>214.04750000000001</v>
      </c>
    </row>
    <row r="1836" spans="1:5" x14ac:dyDescent="0.3">
      <c r="A1836" s="2">
        <v>45319</v>
      </c>
      <c r="B1836" s="36">
        <v>215.6216</v>
      </c>
      <c r="C1836" s="36">
        <v>215.6216</v>
      </c>
      <c r="D1836" s="36">
        <v>215.6216</v>
      </c>
      <c r="E1836" s="36">
        <v>215.6216</v>
      </c>
    </row>
    <row r="1837" spans="1:5" x14ac:dyDescent="0.3">
      <c r="A1837" s="1">
        <v>45320</v>
      </c>
      <c r="B1837" s="37">
        <v>217.2073</v>
      </c>
      <c r="C1837" s="37">
        <v>217.2073</v>
      </c>
      <c r="D1837" s="37">
        <v>217.2073</v>
      </c>
      <c r="E1837" s="37">
        <v>217.2073</v>
      </c>
    </row>
    <row r="1838" spans="1:5" x14ac:dyDescent="0.3">
      <c r="A1838" s="2">
        <v>45321</v>
      </c>
      <c r="B1838" s="36">
        <v>218.80459999999999</v>
      </c>
      <c r="C1838" s="36">
        <v>218.80459999999999</v>
      </c>
      <c r="D1838" s="36">
        <v>218.80459999999999</v>
      </c>
      <c r="E1838" s="36">
        <v>218.80459999999999</v>
      </c>
    </row>
    <row r="1839" spans="1:5" x14ac:dyDescent="0.3">
      <c r="A1839" s="1">
        <v>45322</v>
      </c>
      <c r="B1839" s="37">
        <v>220.4136</v>
      </c>
      <c r="C1839" s="37">
        <v>220.4136</v>
      </c>
      <c r="D1839" s="37">
        <v>220.4136</v>
      </c>
      <c r="E1839" s="37">
        <v>220.4136</v>
      </c>
    </row>
    <row r="1840" spans="1:5" x14ac:dyDescent="0.3">
      <c r="A1840" s="2">
        <v>45323</v>
      </c>
      <c r="B1840" s="36">
        <v>222.03450000000001</v>
      </c>
      <c r="C1840" s="36">
        <v>222.03450000000001</v>
      </c>
      <c r="D1840" s="36">
        <v>222.03450000000001</v>
      </c>
      <c r="E1840" s="36">
        <v>222.03450000000001</v>
      </c>
    </row>
    <row r="1841" spans="1:5" x14ac:dyDescent="0.3">
      <c r="A1841" s="1">
        <v>45324</v>
      </c>
      <c r="B1841" s="37">
        <v>223.66730000000001</v>
      </c>
      <c r="C1841" s="37">
        <v>223.66730000000001</v>
      </c>
      <c r="D1841" s="37">
        <v>223.66730000000001</v>
      </c>
      <c r="E1841" s="37">
        <v>223.66730000000001</v>
      </c>
    </row>
    <row r="1842" spans="1:5" x14ac:dyDescent="0.3">
      <c r="A1842" s="2">
        <v>45325</v>
      </c>
      <c r="B1842" s="36">
        <v>225.31219999999999</v>
      </c>
      <c r="C1842" s="36">
        <v>225.31219999999999</v>
      </c>
      <c r="D1842" s="36">
        <v>225.31219999999999</v>
      </c>
      <c r="E1842" s="36">
        <v>225.31219999999999</v>
      </c>
    </row>
    <row r="1843" spans="1:5" x14ac:dyDescent="0.3">
      <c r="A1843" s="1">
        <v>45326</v>
      </c>
      <c r="B1843" s="37">
        <v>226.9691</v>
      </c>
      <c r="C1843" s="37">
        <v>226.9691</v>
      </c>
      <c r="D1843" s="37">
        <v>226.9691</v>
      </c>
      <c r="E1843" s="37">
        <v>226.9691</v>
      </c>
    </row>
    <row r="1844" spans="1:5" x14ac:dyDescent="0.3">
      <c r="A1844" s="2">
        <v>45327</v>
      </c>
      <c r="B1844" s="36">
        <v>228.63820000000001</v>
      </c>
      <c r="C1844" s="36">
        <v>228.63820000000001</v>
      </c>
      <c r="D1844" s="36">
        <v>228.63820000000001</v>
      </c>
      <c r="E1844" s="36">
        <v>228.63820000000001</v>
      </c>
    </row>
    <row r="1845" spans="1:5" x14ac:dyDescent="0.3">
      <c r="A1845" s="1">
        <v>45328</v>
      </c>
      <c r="B1845" s="37">
        <v>230.31950000000001</v>
      </c>
      <c r="C1845" s="37">
        <v>230.31950000000001</v>
      </c>
      <c r="D1845" s="37">
        <v>230.31950000000001</v>
      </c>
      <c r="E1845" s="37">
        <v>230.31950000000001</v>
      </c>
    </row>
    <row r="1846" spans="1:5" x14ac:dyDescent="0.3">
      <c r="A1846" s="2">
        <v>45329</v>
      </c>
      <c r="B1846" s="36">
        <v>232.01329999999999</v>
      </c>
      <c r="C1846" s="36">
        <v>232.01329999999999</v>
      </c>
      <c r="D1846" s="36">
        <v>232.01329999999999</v>
      </c>
      <c r="E1846" s="36">
        <v>232.01329999999999</v>
      </c>
    </row>
    <row r="1847" spans="1:5" x14ac:dyDescent="0.3">
      <c r="A1847" s="1">
        <v>45330</v>
      </c>
      <c r="B1847" s="37">
        <v>233.71950000000001</v>
      </c>
      <c r="C1847" s="37">
        <v>233.71950000000001</v>
      </c>
      <c r="D1847" s="37">
        <v>233.71950000000001</v>
      </c>
      <c r="E1847" s="37">
        <v>233.71950000000001</v>
      </c>
    </row>
    <row r="1848" spans="1:5" x14ac:dyDescent="0.3">
      <c r="A1848" s="2">
        <v>45331</v>
      </c>
      <c r="B1848" s="36">
        <v>235.43819999999999</v>
      </c>
      <c r="C1848" s="36">
        <v>235.43819999999999</v>
      </c>
      <c r="D1848" s="36">
        <v>235.43819999999999</v>
      </c>
      <c r="E1848" s="36">
        <v>235.43819999999999</v>
      </c>
    </row>
    <row r="1849" spans="1:5" x14ac:dyDescent="0.3">
      <c r="A1849" s="1">
        <v>45332</v>
      </c>
      <c r="B1849" s="37">
        <v>237.1696</v>
      </c>
      <c r="C1849" s="37">
        <v>237.1696</v>
      </c>
      <c r="D1849" s="37">
        <v>237.1696</v>
      </c>
      <c r="E1849" s="37">
        <v>237.1696</v>
      </c>
    </row>
    <row r="1850" spans="1:5" x14ac:dyDescent="0.3">
      <c r="A1850" s="2">
        <v>45333</v>
      </c>
      <c r="B1850" s="36">
        <v>238.91370000000001</v>
      </c>
      <c r="C1850" s="36">
        <v>238.91370000000001</v>
      </c>
      <c r="D1850" s="36">
        <v>238.91370000000001</v>
      </c>
      <c r="E1850" s="36">
        <v>238.91370000000001</v>
      </c>
    </row>
    <row r="1851" spans="1:5" x14ac:dyDescent="0.3">
      <c r="A1851" s="1">
        <v>45334</v>
      </c>
      <c r="B1851" s="37">
        <v>240.67070000000001</v>
      </c>
      <c r="C1851" s="37">
        <v>240.67070000000001</v>
      </c>
      <c r="D1851" s="37">
        <v>240.67070000000001</v>
      </c>
      <c r="E1851" s="37">
        <v>240.67070000000001</v>
      </c>
    </row>
    <row r="1852" spans="1:5" x14ac:dyDescent="0.3">
      <c r="A1852" s="2">
        <v>45335</v>
      </c>
      <c r="B1852" s="36">
        <v>242.44049999999999</v>
      </c>
      <c r="C1852" s="36">
        <v>242.44049999999999</v>
      </c>
      <c r="D1852" s="36">
        <v>242.44049999999999</v>
      </c>
      <c r="E1852" s="36">
        <v>242.44049999999999</v>
      </c>
    </row>
    <row r="1853" spans="1:5" x14ac:dyDescent="0.3">
      <c r="A1853" s="1">
        <v>45336</v>
      </c>
      <c r="B1853" s="37">
        <v>244.2234</v>
      </c>
      <c r="C1853" s="37">
        <v>244.2234</v>
      </c>
      <c r="D1853" s="37">
        <v>244.2234</v>
      </c>
      <c r="E1853" s="37">
        <v>244.2234</v>
      </c>
    </row>
    <row r="1854" spans="1:5" x14ac:dyDescent="0.3">
      <c r="A1854" s="2">
        <v>45337</v>
      </c>
      <c r="B1854" s="36">
        <v>246.01939999999999</v>
      </c>
      <c r="C1854" s="36">
        <v>246.01939999999999</v>
      </c>
      <c r="D1854" s="36">
        <v>246.01939999999999</v>
      </c>
      <c r="E1854" s="36">
        <v>246.01939999999999</v>
      </c>
    </row>
    <row r="1855" spans="1:5" x14ac:dyDescent="0.3">
      <c r="A1855" s="1">
        <v>45338</v>
      </c>
      <c r="B1855" s="37">
        <v>247.61349999999999</v>
      </c>
      <c r="C1855" s="37">
        <v>247.61349999999999</v>
      </c>
      <c r="D1855" s="37">
        <v>247.61349999999999</v>
      </c>
      <c r="E1855" s="37">
        <v>247.61349999999999</v>
      </c>
    </row>
    <row r="1856" spans="1:5" x14ac:dyDescent="0.3">
      <c r="A1856" s="2">
        <v>45339</v>
      </c>
      <c r="B1856" s="36">
        <v>249.21799999999999</v>
      </c>
      <c r="C1856" s="36">
        <v>249.21799999999999</v>
      </c>
      <c r="D1856" s="36">
        <v>249.21799999999999</v>
      </c>
      <c r="E1856" s="36">
        <v>249.21799999999999</v>
      </c>
    </row>
    <row r="1857" spans="1:5" x14ac:dyDescent="0.3">
      <c r="A1857" s="1">
        <v>45340</v>
      </c>
      <c r="B1857" s="37">
        <v>250.8329</v>
      </c>
      <c r="C1857" s="37">
        <v>250.8329</v>
      </c>
      <c r="D1857" s="37">
        <v>250.8329</v>
      </c>
      <c r="E1857" s="37">
        <v>250.8329</v>
      </c>
    </row>
    <row r="1858" spans="1:5" x14ac:dyDescent="0.3">
      <c r="A1858" s="2">
        <v>45341</v>
      </c>
      <c r="B1858" s="36">
        <v>252.45830000000001</v>
      </c>
      <c r="C1858" s="36">
        <v>252.45830000000001</v>
      </c>
      <c r="D1858" s="36">
        <v>252.45830000000001</v>
      </c>
      <c r="E1858" s="36">
        <v>252.45830000000001</v>
      </c>
    </row>
    <row r="1859" spans="1:5" x14ac:dyDescent="0.3">
      <c r="A1859" s="1">
        <v>45342</v>
      </c>
      <c r="B1859" s="37">
        <v>254.0942</v>
      </c>
      <c r="C1859" s="37">
        <v>254.0942</v>
      </c>
      <c r="D1859" s="37">
        <v>254.0942</v>
      </c>
      <c r="E1859" s="37">
        <v>254.0942</v>
      </c>
    </row>
    <row r="1860" spans="1:5" x14ac:dyDescent="0.3">
      <c r="A1860" s="2">
        <v>45343</v>
      </c>
      <c r="B1860" s="36">
        <v>255.7407</v>
      </c>
      <c r="C1860" s="36">
        <v>255.7407</v>
      </c>
      <c r="D1860" s="36">
        <v>255.7407</v>
      </c>
      <c r="E1860" s="36">
        <v>255.7407</v>
      </c>
    </row>
    <row r="1861" spans="1:5" x14ac:dyDescent="0.3">
      <c r="A1861" s="1">
        <v>45344</v>
      </c>
      <c r="B1861" s="37">
        <v>257.39780000000002</v>
      </c>
      <c r="C1861" s="37">
        <v>257.39780000000002</v>
      </c>
      <c r="D1861" s="37">
        <v>257.39780000000002</v>
      </c>
      <c r="E1861" s="37">
        <v>257.39780000000002</v>
      </c>
    </row>
    <row r="1862" spans="1:5" x14ac:dyDescent="0.3">
      <c r="A1862" s="2">
        <v>45345</v>
      </c>
      <c r="B1862" s="36">
        <v>259.06569999999999</v>
      </c>
      <c r="C1862" s="36">
        <v>259.06569999999999</v>
      </c>
      <c r="D1862" s="36">
        <v>259.06569999999999</v>
      </c>
      <c r="E1862" s="36">
        <v>259.06569999999999</v>
      </c>
    </row>
    <row r="1863" spans="1:5" x14ac:dyDescent="0.3">
      <c r="A1863" s="1">
        <v>45346</v>
      </c>
      <c r="B1863" s="37">
        <v>260.74439999999998</v>
      </c>
      <c r="C1863" s="37">
        <v>260.74439999999998</v>
      </c>
      <c r="D1863" s="37">
        <v>260.74439999999998</v>
      </c>
      <c r="E1863" s="37">
        <v>260.74439999999998</v>
      </c>
    </row>
    <row r="1864" spans="1:5" x14ac:dyDescent="0.3">
      <c r="A1864" s="2">
        <v>45347</v>
      </c>
      <c r="B1864" s="36">
        <v>262.43400000000003</v>
      </c>
      <c r="C1864" s="36">
        <v>262.43400000000003</v>
      </c>
      <c r="D1864" s="36">
        <v>262.43400000000003</v>
      </c>
      <c r="E1864" s="36">
        <v>262.43400000000003</v>
      </c>
    </row>
    <row r="1865" spans="1:5" x14ac:dyDescent="0.3">
      <c r="A1865" s="1">
        <v>45348</v>
      </c>
      <c r="B1865" s="37">
        <v>264.1345</v>
      </c>
      <c r="C1865" s="37">
        <v>264.1345</v>
      </c>
      <c r="D1865" s="37">
        <v>264.1345</v>
      </c>
      <c r="E1865" s="37">
        <v>264.1345</v>
      </c>
    </row>
    <row r="1866" spans="1:5" x14ac:dyDescent="0.3">
      <c r="A1866" s="2">
        <v>45349</v>
      </c>
      <c r="B1866" s="36">
        <v>265.84609999999998</v>
      </c>
      <c r="C1866" s="36">
        <v>265.84609999999998</v>
      </c>
      <c r="D1866" s="36">
        <v>265.84609999999998</v>
      </c>
      <c r="E1866" s="36">
        <v>265.84609999999998</v>
      </c>
    </row>
    <row r="1867" spans="1:5" x14ac:dyDescent="0.3">
      <c r="A1867" s="1">
        <v>45350</v>
      </c>
      <c r="B1867" s="37">
        <v>267.56869999999998</v>
      </c>
      <c r="C1867" s="37">
        <v>267.56869999999998</v>
      </c>
      <c r="D1867" s="37">
        <v>267.56869999999998</v>
      </c>
      <c r="E1867" s="37">
        <v>267.56869999999998</v>
      </c>
    </row>
    <row r="1868" spans="1:5" x14ac:dyDescent="0.3">
      <c r="A1868" s="2">
        <v>45351</v>
      </c>
      <c r="B1868" s="36">
        <v>269.30250000000001</v>
      </c>
      <c r="C1868" s="36">
        <v>269.30250000000001</v>
      </c>
      <c r="D1868" s="36">
        <v>269.30250000000001</v>
      </c>
      <c r="E1868" s="36">
        <v>269.30250000000001</v>
      </c>
    </row>
    <row r="1869" spans="1:5" x14ac:dyDescent="0.3">
      <c r="A1869" s="1">
        <v>45352</v>
      </c>
      <c r="B1869" s="37">
        <v>271.04759999999999</v>
      </c>
      <c r="C1869" s="37">
        <v>271.04759999999999</v>
      </c>
      <c r="D1869" s="37">
        <v>271.04759999999999</v>
      </c>
      <c r="E1869" s="37">
        <v>271.04759999999999</v>
      </c>
    </row>
    <row r="1870" spans="1:5" x14ac:dyDescent="0.3">
      <c r="A1870" s="2">
        <v>45353</v>
      </c>
      <c r="B1870" s="36">
        <v>272.8039</v>
      </c>
      <c r="C1870" s="36">
        <v>272.8039</v>
      </c>
      <c r="D1870" s="36">
        <v>272.8039</v>
      </c>
      <c r="E1870" s="36">
        <v>272.8039</v>
      </c>
    </row>
    <row r="1871" spans="1:5" x14ac:dyDescent="0.3">
      <c r="A1871" s="1">
        <v>45354</v>
      </c>
      <c r="B1871" s="37">
        <v>274.57159999999999</v>
      </c>
      <c r="C1871" s="37">
        <v>274.57159999999999</v>
      </c>
      <c r="D1871" s="37">
        <v>274.57159999999999</v>
      </c>
      <c r="E1871" s="37">
        <v>274.57159999999999</v>
      </c>
    </row>
    <row r="1872" spans="1:5" x14ac:dyDescent="0.3">
      <c r="A1872" s="2">
        <v>45355</v>
      </c>
      <c r="B1872" s="36">
        <v>276.35079999999999</v>
      </c>
      <c r="C1872" s="36">
        <v>276.35079999999999</v>
      </c>
      <c r="D1872" s="36">
        <v>276.35079999999999</v>
      </c>
      <c r="E1872" s="36">
        <v>276.35079999999999</v>
      </c>
    </row>
    <row r="1873" spans="1:5" x14ac:dyDescent="0.3">
      <c r="A1873" s="1">
        <v>45356</v>
      </c>
      <c r="B1873" s="37">
        <v>278.14150000000001</v>
      </c>
      <c r="C1873" s="37">
        <v>278.14150000000001</v>
      </c>
      <c r="D1873" s="37">
        <v>278.14150000000001</v>
      </c>
      <c r="E1873" s="37">
        <v>278.14150000000001</v>
      </c>
    </row>
    <row r="1874" spans="1:5" x14ac:dyDescent="0.3">
      <c r="A1874" s="2">
        <v>45357</v>
      </c>
      <c r="B1874" s="36">
        <v>279.94380000000001</v>
      </c>
      <c r="C1874" s="36">
        <v>279.94380000000001</v>
      </c>
      <c r="D1874" s="36">
        <v>279.94380000000001</v>
      </c>
      <c r="E1874" s="36">
        <v>279.94380000000001</v>
      </c>
    </row>
    <row r="1875" spans="1:5" x14ac:dyDescent="0.3">
      <c r="A1875" s="1">
        <v>45358</v>
      </c>
      <c r="B1875" s="37">
        <v>281.75779999999997</v>
      </c>
      <c r="C1875" s="37">
        <v>281.75779999999997</v>
      </c>
      <c r="D1875" s="37">
        <v>281.75779999999997</v>
      </c>
      <c r="E1875" s="37">
        <v>281.75779999999997</v>
      </c>
    </row>
    <row r="1876" spans="1:5" x14ac:dyDescent="0.3">
      <c r="A1876" s="2">
        <v>45359</v>
      </c>
      <c r="B1876" s="36">
        <v>283.58359999999999</v>
      </c>
      <c r="C1876" s="36">
        <v>283.58359999999999</v>
      </c>
      <c r="D1876" s="36">
        <v>283.58359999999999</v>
      </c>
      <c r="E1876" s="36">
        <v>283.58359999999999</v>
      </c>
    </row>
    <row r="1877" spans="1:5" x14ac:dyDescent="0.3">
      <c r="A1877" s="1">
        <v>45360</v>
      </c>
      <c r="B1877" s="37">
        <v>285.42110000000002</v>
      </c>
      <c r="C1877" s="37">
        <v>285.42110000000002</v>
      </c>
      <c r="D1877" s="37">
        <v>285.42110000000002</v>
      </c>
      <c r="E1877" s="37">
        <v>285.42110000000002</v>
      </c>
    </row>
    <row r="1878" spans="1:5" x14ac:dyDescent="0.3">
      <c r="A1878" s="2">
        <v>45361</v>
      </c>
      <c r="B1878" s="36">
        <v>287.2706</v>
      </c>
      <c r="C1878" s="36">
        <v>287.2706</v>
      </c>
      <c r="D1878" s="36">
        <v>287.2706</v>
      </c>
      <c r="E1878" s="36">
        <v>287.2706</v>
      </c>
    </row>
    <row r="1879" spans="1:5" x14ac:dyDescent="0.3">
      <c r="A1879" s="1">
        <v>45362</v>
      </c>
      <c r="B1879" s="37">
        <v>289.13209999999998</v>
      </c>
      <c r="C1879" s="37">
        <v>289.13209999999998</v>
      </c>
      <c r="D1879" s="37">
        <v>289.13209999999998</v>
      </c>
      <c r="E1879" s="37">
        <v>289.13209999999998</v>
      </c>
    </row>
    <row r="1880" spans="1:5" x14ac:dyDescent="0.3">
      <c r="A1880" s="2">
        <v>45363</v>
      </c>
      <c r="B1880" s="36">
        <v>291.00560000000002</v>
      </c>
      <c r="C1880" s="36">
        <v>291.00560000000002</v>
      </c>
      <c r="D1880" s="36">
        <v>291.00560000000002</v>
      </c>
      <c r="E1880" s="36">
        <v>291.00560000000002</v>
      </c>
    </row>
    <row r="1881" spans="1:5" x14ac:dyDescent="0.3">
      <c r="A1881" s="1">
        <v>45364</v>
      </c>
      <c r="B1881" s="37">
        <v>292.8913</v>
      </c>
      <c r="C1881" s="37">
        <v>292.8913</v>
      </c>
      <c r="D1881" s="37">
        <v>292.8913</v>
      </c>
      <c r="E1881" s="37">
        <v>292.8913</v>
      </c>
    </row>
    <row r="1882" spans="1:5" x14ac:dyDescent="0.3">
      <c r="A1882" s="2">
        <v>45365</v>
      </c>
      <c r="B1882" s="36">
        <v>294.78919999999999</v>
      </c>
      <c r="C1882" s="36">
        <v>294.78919999999999</v>
      </c>
      <c r="D1882" s="36">
        <v>294.78919999999999</v>
      </c>
      <c r="E1882" s="36">
        <v>294.78919999999999</v>
      </c>
    </row>
    <row r="1883" spans="1:5" x14ac:dyDescent="0.3">
      <c r="A1883" s="1">
        <v>45366</v>
      </c>
      <c r="B1883" s="37">
        <v>296.69940000000003</v>
      </c>
      <c r="C1883" s="37">
        <v>296.69940000000003</v>
      </c>
      <c r="D1883" s="37">
        <v>296.69940000000003</v>
      </c>
      <c r="E1883" s="37">
        <v>296.69940000000003</v>
      </c>
    </row>
    <row r="1884" spans="1:5" x14ac:dyDescent="0.3">
      <c r="A1884" s="2">
        <v>45367</v>
      </c>
      <c r="B1884" s="36">
        <v>297.88839999999999</v>
      </c>
      <c r="C1884" s="36">
        <v>297.88839999999999</v>
      </c>
      <c r="D1884" s="36">
        <v>297.88839999999999</v>
      </c>
      <c r="E1884" s="36">
        <v>297.88839999999999</v>
      </c>
    </row>
    <row r="1885" spans="1:5" x14ac:dyDescent="0.3">
      <c r="A1885" s="1">
        <v>45368</v>
      </c>
      <c r="B1885" s="37">
        <v>299.0822</v>
      </c>
      <c r="C1885" s="37">
        <v>299.0822</v>
      </c>
      <c r="D1885" s="37">
        <v>299.0822</v>
      </c>
      <c r="E1885" s="37">
        <v>299.0822</v>
      </c>
    </row>
    <row r="1886" spans="1:5" x14ac:dyDescent="0.3">
      <c r="A1886" s="2">
        <v>45369</v>
      </c>
      <c r="B1886" s="36">
        <v>300.2808</v>
      </c>
      <c r="C1886" s="36">
        <v>300.2808</v>
      </c>
      <c r="D1886" s="36">
        <v>300.2808</v>
      </c>
      <c r="E1886" s="36">
        <v>300.2808</v>
      </c>
    </row>
    <row r="1887" spans="1:5" x14ac:dyDescent="0.3">
      <c r="A1887" s="1">
        <v>45370</v>
      </c>
      <c r="B1887" s="37">
        <v>301.48419999999999</v>
      </c>
      <c r="C1887" s="37">
        <v>301.48419999999999</v>
      </c>
      <c r="D1887" s="37">
        <v>301.48419999999999</v>
      </c>
      <c r="E1887" s="37">
        <v>301.48419999999999</v>
      </c>
    </row>
    <row r="1888" spans="1:5" x14ac:dyDescent="0.3">
      <c r="A1888" s="2">
        <v>45371</v>
      </c>
      <c r="B1888" s="36">
        <v>302.69240000000002</v>
      </c>
      <c r="C1888" s="36">
        <v>302.69240000000002</v>
      </c>
      <c r="D1888" s="36">
        <v>302.69240000000002</v>
      </c>
      <c r="E1888" s="36">
        <v>302.69240000000002</v>
      </c>
    </row>
    <row r="1889" spans="1:5" x14ac:dyDescent="0.3">
      <c r="A1889" s="1">
        <v>45372</v>
      </c>
      <c r="B1889" s="37">
        <v>303.90550000000002</v>
      </c>
      <c r="C1889" s="37">
        <v>303.90550000000002</v>
      </c>
      <c r="D1889" s="37">
        <v>303.90550000000002</v>
      </c>
      <c r="E1889" s="37">
        <v>303.90550000000002</v>
      </c>
    </row>
    <row r="1890" spans="1:5" x14ac:dyDescent="0.3">
      <c r="A1890" s="2">
        <v>45373</v>
      </c>
      <c r="B1890" s="36">
        <v>305.1234</v>
      </c>
      <c r="C1890" s="36">
        <v>305.1234</v>
      </c>
      <c r="D1890" s="36">
        <v>305.1234</v>
      </c>
      <c r="E1890" s="36">
        <v>305.1234</v>
      </c>
    </row>
    <row r="1891" spans="1:5" x14ac:dyDescent="0.3">
      <c r="A1891" s="1">
        <v>45374</v>
      </c>
      <c r="B1891" s="37">
        <v>306.34620000000001</v>
      </c>
      <c r="C1891" s="37">
        <v>306.34620000000001</v>
      </c>
      <c r="D1891" s="37">
        <v>306.34620000000001</v>
      </c>
      <c r="E1891" s="37">
        <v>306.34620000000001</v>
      </c>
    </row>
    <row r="1892" spans="1:5" x14ac:dyDescent="0.3">
      <c r="A1892" s="2">
        <v>45375</v>
      </c>
      <c r="B1892" s="36">
        <v>307.57389999999998</v>
      </c>
      <c r="C1892" s="36">
        <v>307.57389999999998</v>
      </c>
      <c r="D1892" s="36">
        <v>307.57389999999998</v>
      </c>
      <c r="E1892" s="36">
        <v>307.57389999999998</v>
      </c>
    </row>
    <row r="1893" spans="1:5" x14ac:dyDescent="0.3">
      <c r="A1893" s="1">
        <v>45376</v>
      </c>
      <c r="B1893" s="37">
        <v>308.80650000000003</v>
      </c>
      <c r="C1893" s="37">
        <v>308.80650000000003</v>
      </c>
      <c r="D1893" s="37">
        <v>308.80650000000003</v>
      </c>
      <c r="E1893" s="37">
        <v>308.80650000000003</v>
      </c>
    </row>
    <row r="1894" spans="1:5" x14ac:dyDescent="0.3">
      <c r="A1894" s="2">
        <v>45377</v>
      </c>
      <c r="B1894" s="36">
        <v>310.04410000000001</v>
      </c>
      <c r="C1894" s="36">
        <v>310.04410000000001</v>
      </c>
      <c r="D1894" s="36">
        <v>310.04410000000001</v>
      </c>
      <c r="E1894" s="36">
        <v>310.04410000000001</v>
      </c>
    </row>
    <row r="1895" spans="1:5" x14ac:dyDescent="0.3">
      <c r="A1895" s="1">
        <v>45378</v>
      </c>
      <c r="B1895" s="37">
        <v>311.28660000000002</v>
      </c>
      <c r="C1895" s="37">
        <v>311.28660000000002</v>
      </c>
      <c r="D1895" s="37">
        <v>311.28660000000002</v>
      </c>
      <c r="E1895" s="37">
        <v>311.28660000000002</v>
      </c>
    </row>
    <row r="1896" spans="1:5" x14ac:dyDescent="0.3">
      <c r="A1896" s="2">
        <v>45379</v>
      </c>
      <c r="B1896" s="36">
        <v>312.53410000000002</v>
      </c>
      <c r="C1896" s="36">
        <v>312.53410000000002</v>
      </c>
      <c r="D1896" s="36">
        <v>312.53410000000002</v>
      </c>
      <c r="E1896" s="36">
        <v>312.53410000000002</v>
      </c>
    </row>
    <row r="1897" spans="1:5" x14ac:dyDescent="0.3">
      <c r="A1897" s="1">
        <v>45380</v>
      </c>
      <c r="B1897" s="37">
        <v>313.78660000000002</v>
      </c>
      <c r="C1897" s="37">
        <v>313.78660000000002</v>
      </c>
      <c r="D1897" s="37">
        <v>313.78660000000002</v>
      </c>
      <c r="E1897" s="37">
        <v>313.78660000000002</v>
      </c>
    </row>
    <row r="1898" spans="1:5" x14ac:dyDescent="0.3">
      <c r="A1898" s="2">
        <v>45381</v>
      </c>
      <c r="B1898" s="36">
        <v>315.04410000000001</v>
      </c>
      <c r="C1898" s="36">
        <v>315.04410000000001</v>
      </c>
      <c r="D1898" s="36">
        <v>315.04410000000001</v>
      </c>
      <c r="E1898" s="36">
        <v>315.04410000000001</v>
      </c>
    </row>
    <row r="1899" spans="1:5" x14ac:dyDescent="0.3">
      <c r="A1899" s="1">
        <v>45382</v>
      </c>
      <c r="B1899" s="37">
        <v>316.3066</v>
      </c>
      <c r="C1899" s="37">
        <v>316.3066</v>
      </c>
      <c r="D1899" s="37">
        <v>316.3066</v>
      </c>
      <c r="E1899" s="37">
        <v>316.3066</v>
      </c>
    </row>
    <row r="1900" spans="1:5" x14ac:dyDescent="0.3">
      <c r="A1900" s="2">
        <v>45383</v>
      </c>
      <c r="B1900" s="36">
        <v>317.57429999999999</v>
      </c>
      <c r="C1900" s="36">
        <v>317.57429999999999</v>
      </c>
      <c r="D1900" s="36">
        <v>317.57429999999999</v>
      </c>
      <c r="E1900" s="36">
        <v>317.57429999999999</v>
      </c>
    </row>
    <row r="1901" spans="1:5" x14ac:dyDescent="0.3">
      <c r="A1901" s="1">
        <v>45384</v>
      </c>
      <c r="B1901" s="37">
        <v>318.84699999999998</v>
      </c>
      <c r="C1901" s="37">
        <v>318.84699999999998</v>
      </c>
      <c r="D1901" s="37">
        <v>318.84699999999998</v>
      </c>
      <c r="E1901" s="37">
        <v>318.84699999999998</v>
      </c>
    </row>
    <row r="1902" spans="1:5" x14ac:dyDescent="0.3">
      <c r="A1902" s="2">
        <v>45385</v>
      </c>
      <c r="B1902" s="36">
        <v>320.12479999999999</v>
      </c>
      <c r="C1902" s="36">
        <v>320.12479999999999</v>
      </c>
      <c r="D1902" s="36">
        <v>320.12479999999999</v>
      </c>
      <c r="E1902" s="36">
        <v>320.12479999999999</v>
      </c>
    </row>
    <row r="1903" spans="1:5" x14ac:dyDescent="0.3">
      <c r="A1903" s="1">
        <v>45386</v>
      </c>
      <c r="B1903" s="37">
        <v>321.40769999999998</v>
      </c>
      <c r="C1903" s="37">
        <v>321.40769999999998</v>
      </c>
      <c r="D1903" s="37">
        <v>321.40769999999998</v>
      </c>
      <c r="E1903" s="37">
        <v>321.40769999999998</v>
      </c>
    </row>
    <row r="1904" spans="1:5" x14ac:dyDescent="0.3">
      <c r="A1904" s="2">
        <v>45387</v>
      </c>
      <c r="B1904" s="36">
        <v>322.69569999999999</v>
      </c>
      <c r="C1904" s="36">
        <v>322.69569999999999</v>
      </c>
      <c r="D1904" s="36">
        <v>322.69569999999999</v>
      </c>
      <c r="E1904" s="36">
        <v>322.69569999999999</v>
      </c>
    </row>
    <row r="1905" spans="1:5" x14ac:dyDescent="0.3">
      <c r="A1905" s="1">
        <v>45388</v>
      </c>
      <c r="B1905" s="37">
        <v>323.98899999999998</v>
      </c>
      <c r="C1905" s="37">
        <v>323.98899999999998</v>
      </c>
      <c r="D1905" s="37">
        <v>323.98899999999998</v>
      </c>
      <c r="E1905" s="37">
        <v>323.98899999999998</v>
      </c>
    </row>
    <row r="1906" spans="1:5" x14ac:dyDescent="0.3">
      <c r="A1906" s="2">
        <v>45389</v>
      </c>
      <c r="B1906" s="36">
        <v>325.28739999999999</v>
      </c>
      <c r="C1906" s="36">
        <v>325.28739999999999</v>
      </c>
      <c r="D1906" s="36">
        <v>325.28739999999999</v>
      </c>
      <c r="E1906" s="36">
        <v>325.28739999999999</v>
      </c>
    </row>
    <row r="1907" spans="1:5" x14ac:dyDescent="0.3">
      <c r="A1907" s="1">
        <v>45390</v>
      </c>
      <c r="B1907" s="37">
        <v>326.59100000000001</v>
      </c>
      <c r="C1907" s="37">
        <v>326.59100000000001</v>
      </c>
      <c r="D1907" s="37">
        <v>326.59100000000001</v>
      </c>
      <c r="E1907" s="37">
        <v>326.59100000000001</v>
      </c>
    </row>
    <row r="1908" spans="1:5" x14ac:dyDescent="0.3">
      <c r="A1908" s="2">
        <v>45391</v>
      </c>
      <c r="B1908" s="36">
        <v>327.89980000000003</v>
      </c>
      <c r="C1908" s="36">
        <v>327.89980000000003</v>
      </c>
      <c r="D1908" s="36">
        <v>327.89980000000003</v>
      </c>
      <c r="E1908" s="36">
        <v>327.89980000000003</v>
      </c>
    </row>
    <row r="1909" spans="1:5" x14ac:dyDescent="0.3">
      <c r="A1909" s="1">
        <v>45392</v>
      </c>
      <c r="B1909" s="37">
        <v>329.21390000000002</v>
      </c>
      <c r="C1909" s="37">
        <v>329.21390000000002</v>
      </c>
      <c r="D1909" s="37">
        <v>329.21390000000002</v>
      </c>
      <c r="E1909" s="37">
        <v>329.21390000000002</v>
      </c>
    </row>
    <row r="1910" spans="1:5" x14ac:dyDescent="0.3">
      <c r="A1910" s="2">
        <v>45393</v>
      </c>
      <c r="B1910" s="36">
        <v>330.53320000000002</v>
      </c>
      <c r="C1910" s="36">
        <v>330.53320000000002</v>
      </c>
      <c r="D1910" s="36">
        <v>330.53320000000002</v>
      </c>
      <c r="E1910" s="36">
        <v>330.53320000000002</v>
      </c>
    </row>
    <row r="1911" spans="1:5" x14ac:dyDescent="0.3">
      <c r="A1911" s="1">
        <v>45394</v>
      </c>
      <c r="B1911" s="37">
        <v>331.8578</v>
      </c>
      <c r="C1911" s="37">
        <v>331.8578</v>
      </c>
      <c r="D1911" s="37">
        <v>331.8578</v>
      </c>
      <c r="E1911" s="37">
        <v>331.8578</v>
      </c>
    </row>
    <row r="1912" spans="1:5" x14ac:dyDescent="0.3">
      <c r="A1912" s="2">
        <v>45395</v>
      </c>
      <c r="B1912" s="36">
        <v>333.18779999999998</v>
      </c>
      <c r="C1912" s="36">
        <v>333.18779999999998</v>
      </c>
      <c r="D1912" s="36">
        <v>333.18779999999998</v>
      </c>
      <c r="E1912" s="36">
        <v>333.18779999999998</v>
      </c>
    </row>
    <row r="1913" spans="1:5" x14ac:dyDescent="0.3">
      <c r="A1913" s="1">
        <v>45396</v>
      </c>
      <c r="B1913" s="37">
        <v>334.5231</v>
      </c>
      <c r="C1913" s="37">
        <v>334.5231</v>
      </c>
      <c r="D1913" s="37">
        <v>334.5231</v>
      </c>
      <c r="E1913" s="37">
        <v>334.5231</v>
      </c>
    </row>
    <row r="1914" spans="1:5" x14ac:dyDescent="0.3">
      <c r="A1914" s="2">
        <v>45397</v>
      </c>
      <c r="B1914" s="36">
        <v>335.86369999999999</v>
      </c>
      <c r="C1914" s="36">
        <v>335.86369999999999</v>
      </c>
      <c r="D1914" s="36">
        <v>335.86369999999999</v>
      </c>
      <c r="E1914" s="36">
        <v>335.86369999999999</v>
      </c>
    </row>
    <row r="1915" spans="1:5" x14ac:dyDescent="0.3">
      <c r="A1915" s="1">
        <v>45398</v>
      </c>
      <c r="B1915" s="37">
        <v>337.03410000000002</v>
      </c>
      <c r="C1915" s="37">
        <v>337.03410000000002</v>
      </c>
      <c r="D1915" s="37">
        <v>337.03410000000002</v>
      </c>
      <c r="E1915" s="37">
        <v>337.03410000000002</v>
      </c>
    </row>
    <row r="1916" spans="1:5" x14ac:dyDescent="0.3">
      <c r="A1916" s="2">
        <v>45399</v>
      </c>
      <c r="B1916" s="36">
        <v>338.20850000000002</v>
      </c>
      <c r="C1916" s="36">
        <v>338.20850000000002</v>
      </c>
      <c r="D1916" s="36">
        <v>338.20850000000002</v>
      </c>
      <c r="E1916" s="36">
        <v>338.20850000000002</v>
      </c>
    </row>
    <row r="1917" spans="1:5" x14ac:dyDescent="0.3">
      <c r="A1917" s="1">
        <v>45400</v>
      </c>
      <c r="B1917" s="37">
        <v>339.38709999999998</v>
      </c>
      <c r="C1917" s="37">
        <v>339.38709999999998</v>
      </c>
      <c r="D1917" s="37">
        <v>339.38709999999998</v>
      </c>
      <c r="E1917" s="37">
        <v>339.38709999999998</v>
      </c>
    </row>
    <row r="1918" spans="1:5" x14ac:dyDescent="0.3">
      <c r="A1918" s="2">
        <v>45401</v>
      </c>
      <c r="B1918" s="36">
        <v>340.56979999999999</v>
      </c>
      <c r="C1918" s="36">
        <v>340.56979999999999</v>
      </c>
      <c r="D1918" s="36">
        <v>340.56979999999999</v>
      </c>
      <c r="E1918" s="36">
        <v>340.56979999999999</v>
      </c>
    </row>
    <row r="1919" spans="1:5" x14ac:dyDescent="0.3">
      <c r="A1919" s="1">
        <v>45402</v>
      </c>
      <c r="B1919" s="37">
        <v>341.75659999999999</v>
      </c>
      <c r="C1919" s="37">
        <v>341.75659999999999</v>
      </c>
      <c r="D1919" s="37">
        <v>341.75659999999999</v>
      </c>
      <c r="E1919" s="37">
        <v>341.75659999999999</v>
      </c>
    </row>
    <row r="1920" spans="1:5" x14ac:dyDescent="0.3">
      <c r="A1920" s="2">
        <v>45403</v>
      </c>
      <c r="B1920" s="36">
        <v>342.94749999999999</v>
      </c>
      <c r="C1920" s="36">
        <v>342.94749999999999</v>
      </c>
      <c r="D1920" s="36">
        <v>342.94749999999999</v>
      </c>
      <c r="E1920" s="36">
        <v>342.94749999999999</v>
      </c>
    </row>
    <row r="1921" spans="1:5" x14ac:dyDescent="0.3">
      <c r="A1921" s="1">
        <v>45404</v>
      </c>
      <c r="B1921" s="37">
        <v>344.14260000000002</v>
      </c>
      <c r="C1921" s="37">
        <v>344.14260000000002</v>
      </c>
      <c r="D1921" s="37">
        <v>344.14260000000002</v>
      </c>
      <c r="E1921" s="37">
        <v>344.14260000000002</v>
      </c>
    </row>
    <row r="1922" spans="1:5" x14ac:dyDescent="0.3">
      <c r="A1922" s="2">
        <v>45405</v>
      </c>
      <c r="B1922" s="36">
        <v>345.34179999999998</v>
      </c>
      <c r="C1922" s="36">
        <v>345.34179999999998</v>
      </c>
      <c r="D1922" s="36">
        <v>345.34179999999998</v>
      </c>
      <c r="E1922" s="36">
        <v>345.34179999999998</v>
      </c>
    </row>
    <row r="1923" spans="1:5" x14ac:dyDescent="0.3">
      <c r="A1923" s="1">
        <v>45406</v>
      </c>
      <c r="B1923" s="37">
        <v>346.54520000000002</v>
      </c>
      <c r="C1923" s="37">
        <v>346.54520000000002</v>
      </c>
      <c r="D1923" s="37">
        <v>346.54520000000002</v>
      </c>
      <c r="E1923" s="37">
        <v>346.54520000000002</v>
      </c>
    </row>
    <row r="1924" spans="1:5" x14ac:dyDescent="0.3">
      <c r="A1924" s="2">
        <v>45407</v>
      </c>
      <c r="B1924" s="36">
        <v>347.75279999999998</v>
      </c>
      <c r="C1924" s="36">
        <v>347.75279999999998</v>
      </c>
      <c r="D1924" s="36">
        <v>347.75279999999998</v>
      </c>
      <c r="E1924" s="36">
        <v>347.75279999999998</v>
      </c>
    </row>
    <row r="1925" spans="1:5" x14ac:dyDescent="0.3">
      <c r="A1925" s="1">
        <v>45408</v>
      </c>
      <c r="B1925" s="37">
        <v>348.96469999999999</v>
      </c>
      <c r="C1925" s="37">
        <v>348.96469999999999</v>
      </c>
      <c r="D1925" s="37">
        <v>348.96469999999999</v>
      </c>
      <c r="E1925" s="37">
        <v>348.96469999999999</v>
      </c>
    </row>
    <row r="1926" spans="1:5" x14ac:dyDescent="0.3">
      <c r="A1926" s="2">
        <v>45409</v>
      </c>
      <c r="B1926" s="36">
        <v>350.1807</v>
      </c>
      <c r="C1926" s="36">
        <v>350.1807</v>
      </c>
      <c r="D1926" s="36">
        <v>350.1807</v>
      </c>
      <c r="E1926" s="36">
        <v>350.1807</v>
      </c>
    </row>
    <row r="1927" spans="1:5" x14ac:dyDescent="0.3">
      <c r="A1927" s="1">
        <v>45410</v>
      </c>
      <c r="B1927" s="37">
        <v>351.40100000000001</v>
      </c>
      <c r="C1927" s="37">
        <v>351.40100000000001</v>
      </c>
      <c r="D1927" s="37">
        <v>351.40100000000001</v>
      </c>
      <c r="E1927" s="37">
        <v>351.40100000000001</v>
      </c>
    </row>
    <row r="1928" spans="1:5" x14ac:dyDescent="0.3">
      <c r="A1928" s="2">
        <v>45411</v>
      </c>
      <c r="B1928" s="36">
        <v>352.62549999999999</v>
      </c>
      <c r="C1928" s="36">
        <v>352.62549999999999</v>
      </c>
      <c r="D1928" s="36">
        <v>352.62549999999999</v>
      </c>
      <c r="E1928" s="36">
        <v>352.62549999999999</v>
      </c>
    </row>
    <row r="1929" spans="1:5" x14ac:dyDescent="0.3">
      <c r="A1929" s="1">
        <v>45412</v>
      </c>
      <c r="B1929" s="37">
        <v>353.85430000000002</v>
      </c>
      <c r="C1929" s="37">
        <v>353.85430000000002</v>
      </c>
      <c r="D1929" s="37">
        <v>353.85430000000002</v>
      </c>
      <c r="E1929" s="37">
        <v>353.85430000000002</v>
      </c>
    </row>
    <row r="1930" spans="1:5" x14ac:dyDescent="0.3">
      <c r="A1930" s="2">
        <v>45413</v>
      </c>
      <c r="B1930" s="36">
        <v>355.0874</v>
      </c>
      <c r="C1930" s="36">
        <v>355.0874</v>
      </c>
      <c r="D1930" s="36">
        <v>355.0874</v>
      </c>
      <c r="E1930" s="36">
        <v>355.0874</v>
      </c>
    </row>
    <row r="1931" spans="1:5" x14ac:dyDescent="0.3">
      <c r="A1931" s="1">
        <v>45414</v>
      </c>
      <c r="B1931" s="37">
        <v>356.32479999999998</v>
      </c>
      <c r="C1931" s="37">
        <v>356.32479999999998</v>
      </c>
      <c r="D1931" s="37">
        <v>356.32479999999998</v>
      </c>
      <c r="E1931" s="37">
        <v>356.32479999999998</v>
      </c>
    </row>
    <row r="1932" spans="1:5" x14ac:dyDescent="0.3">
      <c r="A1932" s="2">
        <v>45415</v>
      </c>
      <c r="B1932" s="36">
        <v>357.56650000000002</v>
      </c>
      <c r="C1932" s="36">
        <v>357.56650000000002</v>
      </c>
      <c r="D1932" s="36">
        <v>357.56650000000002</v>
      </c>
      <c r="E1932" s="36">
        <v>357.56650000000002</v>
      </c>
    </row>
    <row r="1933" spans="1:5" x14ac:dyDescent="0.3">
      <c r="A1933" s="1">
        <v>45416</v>
      </c>
      <c r="B1933" s="37">
        <v>358.8125</v>
      </c>
      <c r="C1933" s="37">
        <v>358.8125</v>
      </c>
      <c r="D1933" s="37">
        <v>358.8125</v>
      </c>
      <c r="E1933" s="37">
        <v>358.8125</v>
      </c>
    </row>
    <row r="1934" spans="1:5" x14ac:dyDescent="0.3">
      <c r="A1934" s="2">
        <v>45417</v>
      </c>
      <c r="B1934" s="36">
        <v>360.06290000000001</v>
      </c>
      <c r="C1934" s="36">
        <v>360.06290000000001</v>
      </c>
      <c r="D1934" s="36">
        <v>360.06290000000001</v>
      </c>
      <c r="E1934" s="36">
        <v>360.06290000000001</v>
      </c>
    </row>
    <row r="1935" spans="1:5" x14ac:dyDescent="0.3">
      <c r="A1935" s="1">
        <v>45418</v>
      </c>
      <c r="B1935" s="37">
        <v>361.31760000000003</v>
      </c>
      <c r="C1935" s="37">
        <v>361.31760000000003</v>
      </c>
      <c r="D1935" s="37">
        <v>361.31760000000003</v>
      </c>
      <c r="E1935" s="37">
        <v>361.31760000000003</v>
      </c>
    </row>
    <row r="1936" spans="1:5" x14ac:dyDescent="0.3">
      <c r="A1936" s="2">
        <v>45419</v>
      </c>
      <c r="B1936" s="36">
        <v>362.57670000000002</v>
      </c>
      <c r="C1936" s="36">
        <v>362.57670000000002</v>
      </c>
      <c r="D1936" s="36">
        <v>362.57670000000002</v>
      </c>
      <c r="E1936" s="36">
        <v>362.57670000000002</v>
      </c>
    </row>
    <row r="1937" spans="1:5" x14ac:dyDescent="0.3">
      <c r="A1937" s="1">
        <v>45420</v>
      </c>
      <c r="B1937" s="37">
        <v>363.84019999999998</v>
      </c>
      <c r="C1937" s="37">
        <v>363.84019999999998</v>
      </c>
      <c r="D1937" s="37">
        <v>363.84019999999998</v>
      </c>
      <c r="E1937" s="37">
        <v>363.84019999999998</v>
      </c>
    </row>
    <row r="1938" spans="1:5" x14ac:dyDescent="0.3">
      <c r="A1938" s="2">
        <v>45421</v>
      </c>
      <c r="B1938" s="36">
        <v>365.10809999999998</v>
      </c>
      <c r="C1938" s="36">
        <v>365.10809999999998</v>
      </c>
      <c r="D1938" s="36">
        <v>365.10809999999998</v>
      </c>
      <c r="E1938" s="36">
        <v>365.10809999999998</v>
      </c>
    </row>
    <row r="1939" spans="1:5" x14ac:dyDescent="0.3">
      <c r="A1939" s="1">
        <v>45422</v>
      </c>
      <c r="B1939" s="37">
        <v>366.38040000000001</v>
      </c>
      <c r="C1939" s="37">
        <v>366.38040000000001</v>
      </c>
      <c r="D1939" s="37">
        <v>366.38040000000001</v>
      </c>
      <c r="E1939" s="37">
        <v>366.38040000000001</v>
      </c>
    </row>
    <row r="1940" spans="1:5" x14ac:dyDescent="0.3">
      <c r="A1940" s="2">
        <v>45423</v>
      </c>
      <c r="B1940" s="36">
        <v>367.65710000000001</v>
      </c>
      <c r="C1940" s="36">
        <v>367.65710000000001</v>
      </c>
      <c r="D1940" s="36">
        <v>367.65710000000001</v>
      </c>
      <c r="E1940" s="36">
        <v>367.65710000000001</v>
      </c>
    </row>
    <row r="1941" spans="1:5" x14ac:dyDescent="0.3">
      <c r="A1941" s="1">
        <v>45424</v>
      </c>
      <c r="B1941" s="37">
        <v>368.93830000000003</v>
      </c>
      <c r="C1941" s="37">
        <v>368.93830000000003</v>
      </c>
      <c r="D1941" s="37">
        <v>368.93830000000003</v>
      </c>
      <c r="E1941" s="37">
        <v>368.93830000000003</v>
      </c>
    </row>
    <row r="1942" spans="1:5" x14ac:dyDescent="0.3">
      <c r="A1942" s="2">
        <v>45425</v>
      </c>
      <c r="B1942" s="36">
        <v>370.22390000000001</v>
      </c>
      <c r="C1942" s="36">
        <v>370.22390000000001</v>
      </c>
      <c r="D1942" s="36">
        <v>370.22390000000001</v>
      </c>
      <c r="E1942" s="36">
        <v>370.22390000000001</v>
      </c>
    </row>
    <row r="1943" spans="1:5" x14ac:dyDescent="0.3">
      <c r="A1943" s="1">
        <v>45426</v>
      </c>
      <c r="B1943" s="37">
        <v>371.51409999999998</v>
      </c>
      <c r="C1943" s="37">
        <v>371.51409999999998</v>
      </c>
      <c r="D1943" s="37">
        <v>371.51409999999998</v>
      </c>
      <c r="E1943" s="37">
        <v>371.51409999999998</v>
      </c>
    </row>
    <row r="1944" spans="1:5" x14ac:dyDescent="0.3">
      <c r="A1944" s="2">
        <v>45427</v>
      </c>
      <c r="B1944" s="36">
        <v>372.80869999999999</v>
      </c>
      <c r="C1944" s="36">
        <v>372.80869999999999</v>
      </c>
      <c r="D1944" s="36">
        <v>372.80869999999999</v>
      </c>
      <c r="E1944" s="36">
        <v>372.80869999999999</v>
      </c>
    </row>
    <row r="1945" spans="1:5" x14ac:dyDescent="0.3">
      <c r="A1945" s="1">
        <v>45428</v>
      </c>
      <c r="B1945" s="37">
        <v>373.82440000000003</v>
      </c>
      <c r="C1945" s="37">
        <v>373.82440000000003</v>
      </c>
      <c r="D1945" s="37">
        <v>373.82440000000003</v>
      </c>
      <c r="E1945" s="37">
        <v>373.82440000000003</v>
      </c>
    </row>
    <row r="1946" spans="1:5" x14ac:dyDescent="0.3">
      <c r="A1946" s="2">
        <v>45429</v>
      </c>
      <c r="B1946" s="36">
        <v>374.84280000000001</v>
      </c>
      <c r="C1946" s="36">
        <v>374.84280000000001</v>
      </c>
      <c r="D1946" s="36">
        <v>374.84280000000001</v>
      </c>
      <c r="E1946" s="36">
        <v>374.84280000000001</v>
      </c>
    </row>
    <row r="1947" spans="1:5" x14ac:dyDescent="0.3">
      <c r="A1947" s="1">
        <v>45430</v>
      </c>
      <c r="B1947" s="37">
        <v>375.86399999999998</v>
      </c>
      <c r="C1947" s="37">
        <v>375.86399999999998</v>
      </c>
      <c r="D1947" s="37">
        <v>375.86399999999998</v>
      </c>
      <c r="E1947" s="37">
        <v>375.86399999999998</v>
      </c>
    </row>
    <row r="1948" spans="1:5" x14ac:dyDescent="0.3">
      <c r="A1948" s="2">
        <v>45431</v>
      </c>
      <c r="B1948" s="36">
        <v>376.88799999999998</v>
      </c>
      <c r="C1948" s="36">
        <v>376.88799999999998</v>
      </c>
      <c r="D1948" s="36">
        <v>376.88799999999998</v>
      </c>
      <c r="E1948" s="36">
        <v>376.88799999999998</v>
      </c>
    </row>
    <row r="1949" spans="1:5" x14ac:dyDescent="0.3">
      <c r="A1949" s="1">
        <v>45432</v>
      </c>
      <c r="B1949" s="37">
        <v>377.91480000000001</v>
      </c>
      <c r="C1949" s="37">
        <v>377.91480000000001</v>
      </c>
      <c r="D1949" s="37">
        <v>377.91480000000001</v>
      </c>
      <c r="E1949" s="37">
        <v>377.91480000000001</v>
      </c>
    </row>
    <row r="1950" spans="1:5" x14ac:dyDescent="0.3">
      <c r="A1950" s="2">
        <v>45433</v>
      </c>
      <c r="B1950" s="36">
        <v>378.94439999999997</v>
      </c>
      <c r="C1950" s="36">
        <v>378.94439999999997</v>
      </c>
      <c r="D1950" s="36">
        <v>378.94439999999997</v>
      </c>
      <c r="E1950" s="36">
        <v>378.94439999999997</v>
      </c>
    </row>
    <row r="1951" spans="1:5" x14ac:dyDescent="0.3">
      <c r="A1951" s="1">
        <v>45434</v>
      </c>
      <c r="B1951" s="37">
        <v>379.97680000000003</v>
      </c>
      <c r="C1951" s="37">
        <v>379.97680000000003</v>
      </c>
      <c r="D1951" s="37">
        <v>379.97680000000003</v>
      </c>
      <c r="E1951" s="37">
        <v>379.97680000000003</v>
      </c>
    </row>
    <row r="1952" spans="1:5" x14ac:dyDescent="0.3">
      <c r="A1952" s="2">
        <v>45435</v>
      </c>
      <c r="B1952" s="36">
        <v>381.012</v>
      </c>
      <c r="C1952" s="36">
        <v>381.012</v>
      </c>
      <c r="D1952" s="36">
        <v>381.012</v>
      </c>
      <c r="E1952" s="36">
        <v>381.012</v>
      </c>
    </row>
    <row r="1953" spans="1:5" x14ac:dyDescent="0.3">
      <c r="A1953" s="1">
        <v>45436</v>
      </c>
      <c r="B1953" s="37">
        <v>382.05</v>
      </c>
      <c r="C1953" s="37">
        <v>382.05</v>
      </c>
      <c r="D1953" s="37">
        <v>382.05</v>
      </c>
      <c r="E1953" s="37">
        <v>382.05</v>
      </c>
    </row>
    <row r="1954" spans="1:5" x14ac:dyDescent="0.3">
      <c r="A1954" s="2">
        <v>45437</v>
      </c>
      <c r="B1954" s="36">
        <v>383.09089999999998</v>
      </c>
      <c r="C1954" s="36">
        <v>383.09089999999998</v>
      </c>
      <c r="D1954" s="36">
        <v>383.09089999999998</v>
      </c>
      <c r="E1954" s="36">
        <v>383.09089999999998</v>
      </c>
    </row>
    <row r="1955" spans="1:5" x14ac:dyDescent="0.3">
      <c r="A1955" s="1">
        <v>45438</v>
      </c>
      <c r="B1955" s="37">
        <v>384.1345</v>
      </c>
      <c r="C1955" s="37">
        <v>384.1345</v>
      </c>
      <c r="D1955" s="37">
        <v>384.1345</v>
      </c>
      <c r="E1955" s="37">
        <v>384.1345</v>
      </c>
    </row>
    <row r="1956" spans="1:5" x14ac:dyDescent="0.3">
      <c r="A1956" s="2">
        <v>45439</v>
      </c>
      <c r="B1956" s="36">
        <v>385.18110000000001</v>
      </c>
      <c r="C1956" s="36">
        <v>385.18110000000001</v>
      </c>
      <c r="D1956" s="36">
        <v>385.18110000000001</v>
      </c>
      <c r="E1956" s="36">
        <v>385.18110000000001</v>
      </c>
    </row>
    <row r="1957" spans="1:5" x14ac:dyDescent="0.3">
      <c r="A1957" s="1">
        <v>45440</v>
      </c>
      <c r="B1957" s="37">
        <v>386.23050000000001</v>
      </c>
      <c r="C1957" s="37">
        <v>386.23050000000001</v>
      </c>
      <c r="D1957" s="37">
        <v>386.23050000000001</v>
      </c>
      <c r="E1957" s="37">
        <v>386.23050000000001</v>
      </c>
    </row>
    <row r="1958" spans="1:5" x14ac:dyDescent="0.3">
      <c r="A1958" s="2">
        <v>45441</v>
      </c>
      <c r="B1958" s="36">
        <v>387.28269999999998</v>
      </c>
      <c r="C1958" s="36">
        <v>387.28269999999998</v>
      </c>
      <c r="D1958" s="36">
        <v>387.28269999999998</v>
      </c>
      <c r="E1958" s="36">
        <v>387.28269999999998</v>
      </c>
    </row>
    <row r="1959" spans="1:5" x14ac:dyDescent="0.3">
      <c r="A1959" s="1">
        <v>45442</v>
      </c>
      <c r="B1959" s="37">
        <v>388.33780000000002</v>
      </c>
      <c r="C1959" s="37">
        <v>388.33780000000002</v>
      </c>
      <c r="D1959" s="37">
        <v>388.33780000000002</v>
      </c>
      <c r="E1959" s="37">
        <v>388.33780000000002</v>
      </c>
    </row>
    <row r="1960" spans="1:5" x14ac:dyDescent="0.3">
      <c r="A1960" s="2">
        <v>45443</v>
      </c>
      <c r="B1960" s="36">
        <v>389.39580000000001</v>
      </c>
      <c r="C1960" s="36">
        <v>389.39580000000001</v>
      </c>
      <c r="D1960" s="36">
        <v>389.39580000000001</v>
      </c>
      <c r="E1960" s="36">
        <v>389.39580000000001</v>
      </c>
    </row>
    <row r="1961" spans="1:5" x14ac:dyDescent="0.3">
      <c r="A1961" s="1">
        <v>45444</v>
      </c>
      <c r="B1961" s="37">
        <v>390.45670000000001</v>
      </c>
      <c r="C1961" s="37">
        <v>390.45670000000001</v>
      </c>
      <c r="D1961" s="37">
        <v>390.45670000000001</v>
      </c>
      <c r="E1961" s="37">
        <v>390.45670000000001</v>
      </c>
    </row>
    <row r="1962" spans="1:5" x14ac:dyDescent="0.3">
      <c r="A1962" s="2">
        <v>45445</v>
      </c>
      <c r="B1962" s="36">
        <v>391.5204</v>
      </c>
      <c r="C1962" s="36">
        <v>391.5204</v>
      </c>
      <c r="D1962" s="36">
        <v>391.5204</v>
      </c>
      <c r="E1962" s="36">
        <v>391.5204</v>
      </c>
    </row>
    <row r="1963" spans="1:5" x14ac:dyDescent="0.3">
      <c r="A1963" s="1">
        <v>45446</v>
      </c>
      <c r="B1963" s="37">
        <v>392.58710000000002</v>
      </c>
      <c r="C1963" s="37">
        <v>392.58710000000002</v>
      </c>
      <c r="D1963" s="37">
        <v>392.58710000000002</v>
      </c>
      <c r="E1963" s="37">
        <v>392.58710000000002</v>
      </c>
    </row>
    <row r="1964" spans="1:5" x14ac:dyDescent="0.3">
      <c r="A1964" s="2">
        <v>45447</v>
      </c>
      <c r="B1964" s="36">
        <v>393.65660000000003</v>
      </c>
      <c r="C1964" s="36">
        <v>393.65660000000003</v>
      </c>
      <c r="D1964" s="36">
        <v>393.65660000000003</v>
      </c>
      <c r="E1964" s="36">
        <v>393.65660000000003</v>
      </c>
    </row>
    <row r="1965" spans="1:5" x14ac:dyDescent="0.3">
      <c r="A1965" s="1">
        <v>45448</v>
      </c>
      <c r="B1965" s="37">
        <v>394.72910000000002</v>
      </c>
      <c r="C1965" s="37">
        <v>394.72910000000002</v>
      </c>
      <c r="D1965" s="37">
        <v>394.72910000000002</v>
      </c>
      <c r="E1965" s="37">
        <v>394.72910000000002</v>
      </c>
    </row>
    <row r="1966" spans="1:5" x14ac:dyDescent="0.3">
      <c r="A1966" s="2">
        <v>45449</v>
      </c>
      <c r="B1966" s="36">
        <v>395.80450000000002</v>
      </c>
      <c r="C1966" s="36">
        <v>395.80450000000002</v>
      </c>
      <c r="D1966" s="36">
        <v>395.80450000000002</v>
      </c>
      <c r="E1966" s="36">
        <v>395.80450000000002</v>
      </c>
    </row>
    <row r="1967" spans="1:5" x14ac:dyDescent="0.3">
      <c r="A1967" s="1">
        <v>45450</v>
      </c>
      <c r="B1967" s="37">
        <v>396.88279999999997</v>
      </c>
      <c r="C1967" s="37">
        <v>396.88279999999997</v>
      </c>
      <c r="D1967" s="37">
        <v>396.88279999999997</v>
      </c>
      <c r="E1967" s="37">
        <v>396.88279999999997</v>
      </c>
    </row>
    <row r="1968" spans="1:5" x14ac:dyDescent="0.3">
      <c r="A1968" s="2">
        <v>45451</v>
      </c>
      <c r="B1968" s="36">
        <v>397.96409999999997</v>
      </c>
      <c r="C1968" s="36">
        <v>397.96409999999997</v>
      </c>
      <c r="D1968" s="36">
        <v>397.96409999999997</v>
      </c>
      <c r="E1968" s="36">
        <v>397.96409999999997</v>
      </c>
    </row>
    <row r="1969" spans="1:5" x14ac:dyDescent="0.3">
      <c r="A1969" s="1">
        <v>45452</v>
      </c>
      <c r="B1969" s="37">
        <v>399.04829999999998</v>
      </c>
      <c r="C1969" s="37">
        <v>399.04829999999998</v>
      </c>
      <c r="D1969" s="37">
        <v>399.04829999999998</v>
      </c>
      <c r="E1969" s="37">
        <v>399.04829999999998</v>
      </c>
    </row>
    <row r="1970" spans="1:5" x14ac:dyDescent="0.3">
      <c r="A1970" s="2">
        <v>45453</v>
      </c>
      <c r="B1970" s="36">
        <v>400.1354</v>
      </c>
      <c r="C1970" s="36">
        <v>400.1354</v>
      </c>
      <c r="D1970" s="36">
        <v>400.1354</v>
      </c>
      <c r="E1970" s="36">
        <v>400.1354</v>
      </c>
    </row>
    <row r="1971" spans="1:5" x14ac:dyDescent="0.3">
      <c r="A1971" s="1">
        <v>45454</v>
      </c>
      <c r="B1971" s="37">
        <v>401.22559999999999</v>
      </c>
      <c r="C1971" s="37">
        <v>401.22559999999999</v>
      </c>
      <c r="D1971" s="37">
        <v>401.22559999999999</v>
      </c>
      <c r="E1971" s="37">
        <v>401.22559999999999</v>
      </c>
    </row>
    <row r="1972" spans="1:5" x14ac:dyDescent="0.3">
      <c r="A1972" s="2">
        <v>45455</v>
      </c>
      <c r="B1972" s="36">
        <v>402.31869999999998</v>
      </c>
      <c r="C1972" s="36">
        <v>402.31869999999998</v>
      </c>
      <c r="D1972" s="36">
        <v>402.31869999999998</v>
      </c>
      <c r="E1972" s="36">
        <v>402.31869999999998</v>
      </c>
    </row>
    <row r="1973" spans="1:5" x14ac:dyDescent="0.3">
      <c r="A1973" s="1">
        <v>45456</v>
      </c>
      <c r="B1973" s="37">
        <v>403.41469999999998</v>
      </c>
      <c r="C1973" s="37">
        <v>403.41469999999998</v>
      </c>
      <c r="D1973" s="37">
        <v>403.41469999999998</v>
      </c>
      <c r="E1973" s="37">
        <v>403.41469999999998</v>
      </c>
    </row>
    <row r="1974" spans="1:5" x14ac:dyDescent="0.3">
      <c r="A1974" s="2">
        <v>45457</v>
      </c>
      <c r="B1974" s="36">
        <v>404.5138</v>
      </c>
      <c r="C1974" s="36">
        <v>404.5138</v>
      </c>
      <c r="D1974" s="36">
        <v>404.5138</v>
      </c>
      <c r="E1974" s="36">
        <v>404.5138</v>
      </c>
    </row>
    <row r="1975" spans="1:5" x14ac:dyDescent="0.3">
      <c r="A1975" s="1">
        <v>45458</v>
      </c>
      <c r="B1975" s="37">
        <v>405.61579999999998</v>
      </c>
      <c r="C1975" s="37">
        <v>405.61579999999998</v>
      </c>
      <c r="D1975" s="37">
        <v>405.61579999999998</v>
      </c>
      <c r="E1975" s="37">
        <v>405.61579999999998</v>
      </c>
    </row>
    <row r="1976" spans="1:5" x14ac:dyDescent="0.3">
      <c r="A1976" s="2">
        <v>45459</v>
      </c>
      <c r="B1976" s="36">
        <v>406.17250000000001</v>
      </c>
      <c r="C1976" s="36">
        <v>406.17250000000001</v>
      </c>
      <c r="D1976" s="36">
        <v>406.17250000000001</v>
      </c>
      <c r="E1976" s="36">
        <v>406.17250000000001</v>
      </c>
    </row>
    <row r="1977" spans="1:5" x14ac:dyDescent="0.3">
      <c r="A1977" s="1">
        <v>45460</v>
      </c>
      <c r="B1977" s="37">
        <v>406.72989999999999</v>
      </c>
      <c r="C1977" s="37">
        <v>406.72989999999999</v>
      </c>
      <c r="D1977" s="37">
        <v>406.72989999999999</v>
      </c>
      <c r="E1977" s="37">
        <v>406.72989999999999</v>
      </c>
    </row>
    <row r="1978" spans="1:5" x14ac:dyDescent="0.3">
      <c r="A1978" s="2">
        <v>45461</v>
      </c>
      <c r="B1978" s="36">
        <v>407.28809999999999</v>
      </c>
      <c r="C1978" s="36">
        <v>407.28809999999999</v>
      </c>
      <c r="D1978" s="36">
        <v>407.28809999999999</v>
      </c>
      <c r="E1978" s="36">
        <v>407.28809999999999</v>
      </c>
    </row>
    <row r="1979" spans="1:5" x14ac:dyDescent="0.3">
      <c r="A1979" s="1">
        <v>45462</v>
      </c>
      <c r="B1979" s="37">
        <v>407.84699999999998</v>
      </c>
      <c r="C1979" s="37">
        <v>407.84699999999998</v>
      </c>
      <c r="D1979" s="37">
        <v>407.84699999999998</v>
      </c>
      <c r="E1979" s="37">
        <v>407.84699999999998</v>
      </c>
    </row>
    <row r="1980" spans="1:5" x14ac:dyDescent="0.3">
      <c r="A1980" s="2">
        <v>45463</v>
      </c>
      <c r="B1980" s="36">
        <v>408.4067</v>
      </c>
      <c r="C1980" s="36">
        <v>408.4067</v>
      </c>
      <c r="D1980" s="36">
        <v>408.4067</v>
      </c>
      <c r="E1980" s="36">
        <v>408.4067</v>
      </c>
    </row>
    <row r="1981" spans="1:5" x14ac:dyDescent="0.3">
      <c r="A1981" s="1">
        <v>45464</v>
      </c>
      <c r="B1981" s="37">
        <v>408.96719999999999</v>
      </c>
      <c r="C1981" s="37">
        <v>408.96719999999999</v>
      </c>
      <c r="D1981" s="37">
        <v>408.96719999999999</v>
      </c>
      <c r="E1981" s="37">
        <v>408.96719999999999</v>
      </c>
    </row>
    <row r="1982" spans="1:5" x14ac:dyDescent="0.3">
      <c r="A1982" s="2">
        <v>45465</v>
      </c>
      <c r="B1982" s="36">
        <v>409.52839999999998</v>
      </c>
      <c r="C1982" s="36">
        <v>409.52839999999998</v>
      </c>
      <c r="D1982" s="36">
        <v>409.52839999999998</v>
      </c>
      <c r="E1982" s="36">
        <v>409.52839999999998</v>
      </c>
    </row>
    <row r="1983" spans="1:5" x14ac:dyDescent="0.3">
      <c r="A1983" s="1">
        <v>45466</v>
      </c>
      <c r="B1983" s="37">
        <v>410.09039999999999</v>
      </c>
      <c r="C1983" s="37">
        <v>410.09039999999999</v>
      </c>
      <c r="D1983" s="37">
        <v>410.09039999999999</v>
      </c>
      <c r="E1983" s="37">
        <v>410.09039999999999</v>
      </c>
    </row>
    <row r="1984" spans="1:5" x14ac:dyDescent="0.3">
      <c r="A1984" s="2">
        <v>45467</v>
      </c>
      <c r="B1984" s="36">
        <v>410.65320000000003</v>
      </c>
      <c r="C1984" s="36">
        <v>410.65320000000003</v>
      </c>
      <c r="D1984" s="36">
        <v>410.65320000000003</v>
      </c>
      <c r="E1984" s="36">
        <v>410.65320000000003</v>
      </c>
    </row>
    <row r="1985" spans="1:5" x14ac:dyDescent="0.3">
      <c r="A1985" s="1">
        <v>45468</v>
      </c>
      <c r="B1985" s="37">
        <v>411.21679999999998</v>
      </c>
      <c r="C1985" s="37">
        <v>411.21679999999998</v>
      </c>
      <c r="D1985" s="37">
        <v>411.21679999999998</v>
      </c>
      <c r="E1985" s="37">
        <v>411.21679999999998</v>
      </c>
    </row>
    <row r="1986" spans="1:5" x14ac:dyDescent="0.3">
      <c r="A1986" s="2">
        <v>45469</v>
      </c>
      <c r="B1986" s="36">
        <v>411.78109999999998</v>
      </c>
      <c r="C1986" s="36">
        <v>411.78109999999998</v>
      </c>
      <c r="D1986" s="36">
        <v>411.78109999999998</v>
      </c>
      <c r="E1986" s="36">
        <v>411.78109999999998</v>
      </c>
    </row>
    <row r="1987" spans="1:5" x14ac:dyDescent="0.3">
      <c r="A1987" s="1">
        <v>45470</v>
      </c>
      <c r="B1987" s="37">
        <v>412.34620000000001</v>
      </c>
      <c r="C1987" s="37">
        <v>412.34620000000001</v>
      </c>
      <c r="D1987" s="37">
        <v>412.34620000000001</v>
      </c>
      <c r="E1987" s="37">
        <v>412.34620000000001</v>
      </c>
    </row>
    <row r="1988" spans="1:5" x14ac:dyDescent="0.3">
      <c r="A1988" s="2">
        <v>45471</v>
      </c>
      <c r="B1988" s="36">
        <v>412.91210000000001</v>
      </c>
      <c r="C1988" s="36">
        <v>412.91210000000001</v>
      </c>
      <c r="D1988" s="36">
        <v>412.91210000000001</v>
      </c>
      <c r="E1988" s="36">
        <v>412.91210000000001</v>
      </c>
    </row>
    <row r="1989" spans="1:5" x14ac:dyDescent="0.3">
      <c r="A1989" s="1">
        <v>45472</v>
      </c>
      <c r="B1989" s="37">
        <v>413.4787</v>
      </c>
      <c r="C1989" s="37">
        <v>413.4787</v>
      </c>
      <c r="D1989" s="37">
        <v>413.4787</v>
      </c>
      <c r="E1989" s="37">
        <v>413.4787</v>
      </c>
    </row>
    <row r="1990" spans="1:5" x14ac:dyDescent="0.3">
      <c r="A1990" s="2">
        <v>45473</v>
      </c>
      <c r="B1990" s="36">
        <v>414.0462</v>
      </c>
      <c r="C1990" s="36">
        <v>414.0462</v>
      </c>
      <c r="D1990" s="36">
        <v>414.0462</v>
      </c>
      <c r="E1990" s="36">
        <v>414.0462</v>
      </c>
    </row>
    <row r="1991" spans="1:5" x14ac:dyDescent="0.3">
      <c r="A1991" s="1">
        <v>45474</v>
      </c>
      <c r="B1991" s="37">
        <v>414.61439999999999</v>
      </c>
      <c r="C1991" s="37">
        <v>414.61439999999999</v>
      </c>
      <c r="D1991" s="37">
        <v>414.61439999999999</v>
      </c>
      <c r="E1991" s="37">
        <v>414.61439999999999</v>
      </c>
    </row>
    <row r="1992" spans="1:5" x14ac:dyDescent="0.3">
      <c r="A1992" s="2">
        <v>45475</v>
      </c>
      <c r="B1992" s="36">
        <v>415.18340000000001</v>
      </c>
      <c r="C1992" s="36">
        <v>415.18340000000001</v>
      </c>
      <c r="D1992" s="36">
        <v>415.18340000000001</v>
      </c>
      <c r="E1992" s="36">
        <v>415.18340000000001</v>
      </c>
    </row>
    <row r="1993" spans="1:5" x14ac:dyDescent="0.3">
      <c r="A1993" s="1">
        <v>45476</v>
      </c>
      <c r="B1993" s="37">
        <v>415.75310000000002</v>
      </c>
      <c r="C1993" s="37">
        <v>415.75310000000002</v>
      </c>
      <c r="D1993" s="37">
        <v>415.75310000000002</v>
      </c>
      <c r="E1993" s="37">
        <v>415.75310000000002</v>
      </c>
    </row>
    <row r="1994" spans="1:5" x14ac:dyDescent="0.3">
      <c r="A1994" s="2">
        <v>45477</v>
      </c>
      <c r="B1994" s="36">
        <v>416.32369999999997</v>
      </c>
      <c r="C1994" s="36">
        <v>416.32369999999997</v>
      </c>
      <c r="D1994" s="36">
        <v>416.32369999999997</v>
      </c>
      <c r="E1994" s="36">
        <v>416.32369999999997</v>
      </c>
    </row>
    <row r="1995" spans="1:5" x14ac:dyDescent="0.3">
      <c r="A1995" s="1">
        <v>45478</v>
      </c>
      <c r="B1995" s="37">
        <v>416.89499999999998</v>
      </c>
      <c r="C1995" s="37">
        <v>416.89499999999998</v>
      </c>
      <c r="D1995" s="37">
        <v>416.89499999999998</v>
      </c>
      <c r="E1995" s="37">
        <v>416.89499999999998</v>
      </c>
    </row>
    <row r="1996" spans="1:5" x14ac:dyDescent="0.3">
      <c r="A1996" s="2">
        <v>45479</v>
      </c>
      <c r="B1996" s="36">
        <v>417.46719999999999</v>
      </c>
      <c r="C1996" s="36">
        <v>417.46719999999999</v>
      </c>
      <c r="D1996" s="36">
        <v>417.46719999999999</v>
      </c>
      <c r="E1996" s="36">
        <v>417.46719999999999</v>
      </c>
    </row>
    <row r="1997" spans="1:5" x14ac:dyDescent="0.3">
      <c r="A1997" s="1">
        <v>45480</v>
      </c>
      <c r="B1997" s="37">
        <v>418.0401</v>
      </c>
      <c r="C1997" s="37">
        <v>418.0401</v>
      </c>
      <c r="D1997" s="37">
        <v>418.0401</v>
      </c>
      <c r="E1997" s="37">
        <v>418.0401</v>
      </c>
    </row>
    <row r="1998" spans="1:5" x14ac:dyDescent="0.3">
      <c r="A1998" s="2">
        <v>45481</v>
      </c>
      <c r="B1998" s="36">
        <v>418.61380000000003</v>
      </c>
      <c r="C1998" s="36">
        <v>418.61380000000003</v>
      </c>
      <c r="D1998" s="36">
        <v>418.61380000000003</v>
      </c>
      <c r="E1998" s="36">
        <v>418.61380000000003</v>
      </c>
    </row>
    <row r="1999" spans="1:5" x14ac:dyDescent="0.3">
      <c r="A1999" s="1">
        <v>45482</v>
      </c>
      <c r="B1999" s="37">
        <v>419.18819999999999</v>
      </c>
      <c r="C1999" s="37">
        <v>419.18819999999999</v>
      </c>
      <c r="D1999" s="37">
        <v>419.18819999999999</v>
      </c>
      <c r="E1999" s="37">
        <v>419.18819999999999</v>
      </c>
    </row>
    <row r="2000" spans="1:5" x14ac:dyDescent="0.3">
      <c r="A2000" s="2">
        <v>45483</v>
      </c>
      <c r="B2000" s="36">
        <v>419.76350000000002</v>
      </c>
      <c r="C2000" s="36">
        <v>419.76350000000002</v>
      </c>
      <c r="D2000" s="36">
        <v>419.76350000000002</v>
      </c>
      <c r="E2000" s="36">
        <v>419.76350000000002</v>
      </c>
    </row>
    <row r="2001" spans="1:5" x14ac:dyDescent="0.3">
      <c r="A2001" s="1">
        <v>45484</v>
      </c>
      <c r="B2001" s="37">
        <v>420.33960000000002</v>
      </c>
      <c r="C2001" s="37">
        <v>420.33960000000002</v>
      </c>
      <c r="D2001" s="37">
        <v>420.33960000000002</v>
      </c>
      <c r="E2001" s="37">
        <v>420.33960000000002</v>
      </c>
    </row>
    <row r="2002" spans="1:5" x14ac:dyDescent="0.3">
      <c r="A2002" s="2">
        <v>45485</v>
      </c>
      <c r="B2002" s="36">
        <v>420.91640000000001</v>
      </c>
      <c r="C2002" s="36">
        <v>420.91640000000001</v>
      </c>
      <c r="D2002" s="36">
        <v>420.91640000000001</v>
      </c>
      <c r="E2002" s="36">
        <v>420.91640000000001</v>
      </c>
    </row>
    <row r="2003" spans="1:5" x14ac:dyDescent="0.3">
      <c r="A2003" s="1">
        <v>45486</v>
      </c>
      <c r="B2003" s="37">
        <v>421.49400000000003</v>
      </c>
      <c r="C2003" s="37">
        <v>421.49400000000003</v>
      </c>
      <c r="D2003" s="37">
        <v>421.49400000000003</v>
      </c>
      <c r="E2003" s="37">
        <v>421.49400000000003</v>
      </c>
    </row>
    <row r="2004" spans="1:5" x14ac:dyDescent="0.3">
      <c r="A2004" s="2">
        <v>45487</v>
      </c>
      <c r="B2004" s="36">
        <v>422.07249999999999</v>
      </c>
      <c r="C2004" s="36">
        <v>422.07249999999999</v>
      </c>
      <c r="D2004" s="36">
        <v>422.07249999999999</v>
      </c>
      <c r="E2004" s="36">
        <v>422.07249999999999</v>
      </c>
    </row>
    <row r="2005" spans="1:5" x14ac:dyDescent="0.3">
      <c r="A2005" s="1">
        <v>45488</v>
      </c>
      <c r="B2005" s="37">
        <v>422.65170000000001</v>
      </c>
      <c r="C2005" s="37">
        <v>422.65170000000001</v>
      </c>
      <c r="D2005" s="37">
        <v>422.65170000000001</v>
      </c>
      <c r="E2005" s="37">
        <v>422.65170000000001</v>
      </c>
    </row>
    <row r="2006" spans="1:5" x14ac:dyDescent="0.3">
      <c r="A2006" s="2">
        <v>45489</v>
      </c>
      <c r="B2006" s="36">
        <v>423.26530000000002</v>
      </c>
      <c r="C2006" s="36">
        <v>423.26530000000002</v>
      </c>
      <c r="D2006" s="36">
        <v>423.26530000000002</v>
      </c>
      <c r="E2006" s="36">
        <v>423.26530000000002</v>
      </c>
    </row>
    <row r="2007" spans="1:5" x14ac:dyDescent="0.3">
      <c r="A2007" s="1">
        <v>45490</v>
      </c>
      <c r="B2007" s="37">
        <v>423.87979999999999</v>
      </c>
      <c r="C2007" s="37">
        <v>423.87979999999999</v>
      </c>
      <c r="D2007" s="37">
        <v>423.87979999999999</v>
      </c>
      <c r="E2007" s="37">
        <v>423.87979999999999</v>
      </c>
    </row>
    <row r="2008" spans="1:5" x14ac:dyDescent="0.3">
      <c r="A2008" s="2">
        <v>45491</v>
      </c>
      <c r="B2008" s="36">
        <v>424.49520000000001</v>
      </c>
      <c r="C2008" s="36">
        <v>424.49520000000001</v>
      </c>
      <c r="D2008" s="36">
        <v>424.49520000000001</v>
      </c>
      <c r="E2008" s="36">
        <v>424.49520000000001</v>
      </c>
    </row>
    <row r="2009" spans="1:5" x14ac:dyDescent="0.3">
      <c r="A2009" s="1">
        <v>45492</v>
      </c>
      <c r="B2009" s="37">
        <v>425.11149999999998</v>
      </c>
      <c r="C2009" s="37">
        <v>425.11149999999998</v>
      </c>
      <c r="D2009" s="37">
        <v>425.11149999999998</v>
      </c>
      <c r="E2009" s="37">
        <v>425.11149999999998</v>
      </c>
    </row>
    <row r="2010" spans="1:5" x14ac:dyDescent="0.3">
      <c r="A2010" s="2">
        <v>45493</v>
      </c>
      <c r="B2010" s="36">
        <v>425.7287</v>
      </c>
      <c r="C2010" s="36">
        <v>425.7287</v>
      </c>
      <c r="D2010" s="36">
        <v>425.7287</v>
      </c>
      <c r="E2010" s="36">
        <v>425.7287</v>
      </c>
    </row>
    <row r="2011" spans="1:5" x14ac:dyDescent="0.3">
      <c r="A2011" s="1">
        <v>45494</v>
      </c>
      <c r="B2011" s="37">
        <v>426.3467</v>
      </c>
      <c r="C2011" s="37">
        <v>426.3467</v>
      </c>
      <c r="D2011" s="37">
        <v>426.3467</v>
      </c>
      <c r="E2011" s="37">
        <v>426.3467</v>
      </c>
    </row>
    <row r="2012" spans="1:5" x14ac:dyDescent="0.3">
      <c r="A2012" s="2">
        <v>45495</v>
      </c>
      <c r="B2012" s="36">
        <v>426.96570000000003</v>
      </c>
      <c r="C2012" s="36">
        <v>426.96570000000003</v>
      </c>
      <c r="D2012" s="36">
        <v>426.96570000000003</v>
      </c>
      <c r="E2012" s="36">
        <v>426.96570000000003</v>
      </c>
    </row>
    <row r="2013" spans="1:5" x14ac:dyDescent="0.3">
      <c r="A2013" s="1">
        <v>45496</v>
      </c>
      <c r="B2013" s="37">
        <v>427.5856</v>
      </c>
      <c r="C2013" s="37">
        <v>427.5856</v>
      </c>
      <c r="D2013" s="37">
        <v>427.5856</v>
      </c>
      <c r="E2013" s="37">
        <v>427.5856</v>
      </c>
    </row>
    <row r="2014" spans="1:5" x14ac:dyDescent="0.3">
      <c r="A2014" s="2">
        <v>45497</v>
      </c>
      <c r="B2014" s="36">
        <v>428.20639999999997</v>
      </c>
      <c r="C2014" s="36">
        <v>428.20639999999997</v>
      </c>
      <c r="D2014" s="36">
        <v>428.20639999999997</v>
      </c>
      <c r="E2014" s="36">
        <v>428.20639999999997</v>
      </c>
    </row>
    <row r="2015" spans="1:5" x14ac:dyDescent="0.3">
      <c r="A2015" s="1">
        <v>45498</v>
      </c>
      <c r="B2015" s="37">
        <v>428.82799999999997</v>
      </c>
      <c r="C2015" s="37">
        <v>428.82799999999997</v>
      </c>
      <c r="D2015" s="37">
        <v>428.82799999999997</v>
      </c>
      <c r="E2015" s="37">
        <v>428.82799999999997</v>
      </c>
    </row>
    <row r="2016" spans="1:5" x14ac:dyDescent="0.3">
      <c r="A2016" s="2">
        <v>45499</v>
      </c>
      <c r="B2016" s="36">
        <v>429.45060000000001</v>
      </c>
      <c r="C2016" s="36">
        <v>429.45060000000001</v>
      </c>
      <c r="D2016" s="36">
        <v>429.45060000000001</v>
      </c>
      <c r="E2016" s="36">
        <v>429.45060000000001</v>
      </c>
    </row>
    <row r="2017" spans="1:5" x14ac:dyDescent="0.3">
      <c r="A2017" s="1">
        <v>45500</v>
      </c>
      <c r="B2017" s="37">
        <v>430.07409999999999</v>
      </c>
      <c r="C2017" s="37">
        <v>430.07409999999999</v>
      </c>
      <c r="D2017" s="37">
        <v>430.07409999999999</v>
      </c>
      <c r="E2017" s="37">
        <v>430.07409999999999</v>
      </c>
    </row>
    <row r="2018" spans="1:5" x14ac:dyDescent="0.3">
      <c r="A2018" s="2">
        <v>45501</v>
      </c>
      <c r="B2018" s="36">
        <v>430.69850000000002</v>
      </c>
      <c r="C2018" s="36">
        <v>430.69850000000002</v>
      </c>
      <c r="D2018" s="36">
        <v>430.69850000000002</v>
      </c>
      <c r="E2018" s="36">
        <v>430.69850000000002</v>
      </c>
    </row>
    <row r="2019" spans="1:5" x14ac:dyDescent="0.3">
      <c r="A2019" s="1">
        <v>45502</v>
      </c>
      <c r="B2019" s="37">
        <v>431.32380000000001</v>
      </c>
      <c r="C2019" s="37">
        <v>431.32380000000001</v>
      </c>
      <c r="D2019" s="37">
        <v>431.32380000000001</v>
      </c>
      <c r="E2019" s="37">
        <v>431.32380000000001</v>
      </c>
    </row>
    <row r="2020" spans="1:5" x14ac:dyDescent="0.3">
      <c r="A2020" s="2">
        <v>45503</v>
      </c>
      <c r="B2020" s="36">
        <v>431.95</v>
      </c>
      <c r="C2020" s="36">
        <v>431.95</v>
      </c>
      <c r="D2020" s="36">
        <v>431.95</v>
      </c>
      <c r="E2020" s="36">
        <v>431.95</v>
      </c>
    </row>
    <row r="2021" spans="1:5" x14ac:dyDescent="0.3">
      <c r="A2021" s="1">
        <v>45504</v>
      </c>
      <c r="B2021" s="37">
        <v>432.57709999999997</v>
      </c>
      <c r="C2021" s="37">
        <v>432.57709999999997</v>
      </c>
      <c r="D2021" s="37">
        <v>432.57709999999997</v>
      </c>
      <c r="E2021" s="37">
        <v>432.57709999999997</v>
      </c>
    </row>
    <row r="2022" spans="1:5" x14ac:dyDescent="0.3">
      <c r="A2022" s="2">
        <v>45505</v>
      </c>
      <c r="B2022" s="36">
        <v>433.20510000000002</v>
      </c>
      <c r="C2022" s="36">
        <v>433.20510000000002</v>
      </c>
      <c r="D2022" s="36">
        <v>433.20510000000002</v>
      </c>
      <c r="E2022" s="36">
        <v>433.20510000000002</v>
      </c>
    </row>
    <row r="2023" spans="1:5" x14ac:dyDescent="0.3">
      <c r="A2023" s="1">
        <v>45506</v>
      </c>
      <c r="B2023" s="37">
        <v>433.834</v>
      </c>
      <c r="C2023" s="37">
        <v>433.834</v>
      </c>
      <c r="D2023" s="37">
        <v>433.834</v>
      </c>
      <c r="E2023" s="37">
        <v>433.834</v>
      </c>
    </row>
    <row r="2024" spans="1:5" x14ac:dyDescent="0.3">
      <c r="A2024" s="2">
        <v>45507</v>
      </c>
      <c r="B2024" s="36">
        <v>434.46390000000002</v>
      </c>
      <c r="C2024" s="36">
        <v>434.46390000000002</v>
      </c>
      <c r="D2024" s="36">
        <v>434.46390000000002</v>
      </c>
      <c r="E2024" s="36">
        <v>434.46390000000002</v>
      </c>
    </row>
    <row r="2025" spans="1:5" x14ac:dyDescent="0.3">
      <c r="A2025" s="1">
        <v>45508</v>
      </c>
      <c r="B2025" s="37">
        <v>435.09460000000001</v>
      </c>
      <c r="C2025" s="37">
        <v>435.09460000000001</v>
      </c>
      <c r="D2025" s="37">
        <v>435.09460000000001</v>
      </c>
      <c r="E2025" s="37">
        <v>435.09460000000001</v>
      </c>
    </row>
    <row r="2026" spans="1:5" x14ac:dyDescent="0.3">
      <c r="A2026" s="2">
        <v>45509</v>
      </c>
      <c r="B2026" s="36">
        <v>435.72629999999998</v>
      </c>
      <c r="C2026" s="36">
        <v>435.72629999999998</v>
      </c>
      <c r="D2026" s="36">
        <v>435.72629999999998</v>
      </c>
      <c r="E2026" s="36">
        <v>435.72629999999998</v>
      </c>
    </row>
    <row r="2027" spans="1:5" x14ac:dyDescent="0.3">
      <c r="A2027" s="1">
        <v>45510</v>
      </c>
      <c r="B2027" s="37">
        <v>436.35890000000001</v>
      </c>
      <c r="C2027" s="37">
        <v>436.35890000000001</v>
      </c>
      <c r="D2027" s="37">
        <v>436.35890000000001</v>
      </c>
      <c r="E2027" s="37">
        <v>436.35890000000001</v>
      </c>
    </row>
    <row r="2028" spans="1:5" x14ac:dyDescent="0.3">
      <c r="A2028" s="2">
        <v>45511</v>
      </c>
      <c r="B2028" s="36">
        <v>436.99239999999998</v>
      </c>
      <c r="C2028" s="36">
        <v>436.99239999999998</v>
      </c>
      <c r="D2028" s="36">
        <v>436.99239999999998</v>
      </c>
      <c r="E2028" s="36">
        <v>436.99239999999998</v>
      </c>
    </row>
    <row r="2029" spans="1:5" x14ac:dyDescent="0.3">
      <c r="A2029" s="1">
        <v>45512</v>
      </c>
      <c r="B2029" s="37">
        <v>437.6268</v>
      </c>
      <c r="C2029" s="37">
        <v>437.6268</v>
      </c>
      <c r="D2029" s="37">
        <v>437.6268</v>
      </c>
      <c r="E2029" s="37">
        <v>437.6268</v>
      </c>
    </row>
    <row r="2030" spans="1:5" x14ac:dyDescent="0.3">
      <c r="A2030" s="2">
        <v>45513</v>
      </c>
      <c r="B2030" s="36">
        <v>438.26220000000001</v>
      </c>
      <c r="C2030" s="36">
        <v>438.26220000000001</v>
      </c>
      <c r="D2030" s="36">
        <v>438.26220000000001</v>
      </c>
      <c r="E2030" s="36">
        <v>438.26220000000001</v>
      </c>
    </row>
    <row r="2031" spans="1:5" x14ac:dyDescent="0.3">
      <c r="A2031" s="1">
        <v>45514</v>
      </c>
      <c r="B2031" s="37">
        <v>438.89839999999998</v>
      </c>
      <c r="C2031" s="37">
        <v>438.89839999999998</v>
      </c>
      <c r="D2031" s="37">
        <v>438.89839999999998</v>
      </c>
      <c r="E2031" s="37">
        <v>438.89839999999998</v>
      </c>
    </row>
    <row r="2032" spans="1:5" x14ac:dyDescent="0.3">
      <c r="A2032" s="2">
        <v>45515</v>
      </c>
      <c r="B2032" s="36">
        <v>439.53559999999999</v>
      </c>
      <c r="C2032" s="36">
        <v>439.53559999999999</v>
      </c>
      <c r="D2032" s="36">
        <v>439.53559999999999</v>
      </c>
      <c r="E2032" s="36">
        <v>439.53559999999999</v>
      </c>
    </row>
    <row r="2033" spans="1:5" x14ac:dyDescent="0.3">
      <c r="A2033" s="1">
        <v>45516</v>
      </c>
      <c r="B2033" s="37">
        <v>440.17380000000003</v>
      </c>
      <c r="C2033" s="37">
        <v>440.17380000000003</v>
      </c>
      <c r="D2033" s="37">
        <v>440.17380000000003</v>
      </c>
      <c r="E2033" s="37">
        <v>440.17380000000003</v>
      </c>
    </row>
    <row r="2034" spans="1:5" x14ac:dyDescent="0.3">
      <c r="A2034" s="2">
        <v>45517</v>
      </c>
      <c r="B2034" s="36">
        <v>440.81279999999998</v>
      </c>
      <c r="C2034" s="36">
        <v>440.81279999999998</v>
      </c>
      <c r="D2034" s="36">
        <v>440.81279999999998</v>
      </c>
      <c r="E2034" s="36">
        <v>440.81279999999998</v>
      </c>
    </row>
    <row r="2035" spans="1:5" x14ac:dyDescent="0.3">
      <c r="A2035" s="1">
        <v>45518</v>
      </c>
      <c r="B2035" s="37">
        <v>441.45280000000002</v>
      </c>
      <c r="C2035" s="37">
        <v>441.45280000000002</v>
      </c>
      <c r="D2035" s="37">
        <v>441.45280000000002</v>
      </c>
      <c r="E2035" s="37">
        <v>441.45280000000002</v>
      </c>
    </row>
    <row r="2036" spans="1:5" x14ac:dyDescent="0.3">
      <c r="A2036" s="2">
        <v>45519</v>
      </c>
      <c r="B2036" s="36">
        <v>442.09370000000001</v>
      </c>
      <c r="C2036" s="36">
        <v>442.09370000000001</v>
      </c>
      <c r="D2036" s="36">
        <v>442.09370000000001</v>
      </c>
      <c r="E2036" s="36">
        <v>442.09370000000001</v>
      </c>
    </row>
    <row r="2037" spans="1:5" x14ac:dyDescent="0.3">
      <c r="A2037" s="1">
        <v>45520</v>
      </c>
      <c r="B2037" s="37">
        <v>442.65339999999998</v>
      </c>
      <c r="C2037" s="37">
        <v>442.65339999999998</v>
      </c>
      <c r="D2037" s="37">
        <v>442.65339999999998</v>
      </c>
      <c r="E2037" s="37">
        <v>442.65339999999998</v>
      </c>
    </row>
    <row r="2038" spans="1:5" x14ac:dyDescent="0.3">
      <c r="A2038" s="2">
        <v>45521</v>
      </c>
      <c r="B2038" s="36">
        <v>443.21379999999999</v>
      </c>
      <c r="C2038" s="36">
        <v>443.21379999999999</v>
      </c>
      <c r="D2038" s="36">
        <v>443.21379999999999</v>
      </c>
      <c r="E2038" s="36">
        <v>443.21379999999999</v>
      </c>
    </row>
    <row r="2039" spans="1:5" x14ac:dyDescent="0.3">
      <c r="A2039" s="1">
        <v>45522</v>
      </c>
      <c r="B2039" s="37">
        <v>443.7749</v>
      </c>
      <c r="C2039" s="37">
        <v>443.7749</v>
      </c>
      <c r="D2039" s="37">
        <v>443.7749</v>
      </c>
      <c r="E2039" s="37">
        <v>443.7749</v>
      </c>
    </row>
    <row r="2040" spans="1:5" x14ac:dyDescent="0.3">
      <c r="A2040" s="2">
        <v>45523</v>
      </c>
      <c r="B2040" s="36">
        <v>444.33670000000001</v>
      </c>
      <c r="C2040" s="36">
        <v>444.33670000000001</v>
      </c>
      <c r="D2040" s="36">
        <v>444.33670000000001</v>
      </c>
      <c r="E2040" s="36">
        <v>444.33670000000001</v>
      </c>
    </row>
    <row r="2041" spans="1:5" x14ac:dyDescent="0.3">
      <c r="A2041" s="1">
        <v>45524</v>
      </c>
      <c r="B2041" s="37">
        <v>444.89920000000001</v>
      </c>
      <c r="C2041" s="37">
        <v>444.89920000000001</v>
      </c>
      <c r="D2041" s="37">
        <v>444.89920000000001</v>
      </c>
      <c r="E2041" s="37">
        <v>444.89920000000001</v>
      </c>
    </row>
    <row r="2042" spans="1:5" x14ac:dyDescent="0.3">
      <c r="A2042" s="2">
        <v>45525</v>
      </c>
      <c r="B2042" s="36">
        <v>445.4624</v>
      </c>
      <c r="C2042" s="36">
        <v>445.4624</v>
      </c>
      <c r="D2042" s="36">
        <v>445.4624</v>
      </c>
      <c r="E2042" s="36">
        <v>445.4624</v>
      </c>
    </row>
    <row r="2043" spans="1:5" x14ac:dyDescent="0.3">
      <c r="A2043" s="1">
        <v>45526</v>
      </c>
      <c r="B2043" s="37">
        <v>446.02640000000002</v>
      </c>
      <c r="C2043" s="37">
        <v>446.02640000000002</v>
      </c>
      <c r="D2043" s="37">
        <v>446.02640000000002</v>
      </c>
      <c r="E2043" s="37">
        <v>446.02640000000002</v>
      </c>
    </row>
    <row r="2044" spans="1:5" x14ac:dyDescent="0.3">
      <c r="A2044" s="2">
        <v>45527</v>
      </c>
      <c r="B2044" s="36">
        <v>446.59100000000001</v>
      </c>
      <c r="C2044" s="36">
        <v>446.59100000000001</v>
      </c>
      <c r="D2044" s="36">
        <v>446.59100000000001</v>
      </c>
      <c r="E2044" s="36">
        <v>446.59100000000001</v>
      </c>
    </row>
    <row r="2045" spans="1:5" x14ac:dyDescent="0.3">
      <c r="A2045" s="1">
        <v>45528</v>
      </c>
      <c r="B2045" s="37">
        <v>447.15640000000002</v>
      </c>
      <c r="C2045" s="37">
        <v>447.15640000000002</v>
      </c>
      <c r="D2045" s="37">
        <v>447.15640000000002</v>
      </c>
      <c r="E2045" s="37">
        <v>447.15640000000002</v>
      </c>
    </row>
    <row r="2046" spans="1:5" x14ac:dyDescent="0.3">
      <c r="A2046" s="2">
        <v>45529</v>
      </c>
      <c r="B2046" s="36">
        <v>447.72250000000003</v>
      </c>
      <c r="C2046" s="36">
        <v>447.72250000000003</v>
      </c>
      <c r="D2046" s="36">
        <v>447.72250000000003</v>
      </c>
      <c r="E2046" s="36">
        <v>447.72250000000003</v>
      </c>
    </row>
    <row r="2047" spans="1:5" x14ac:dyDescent="0.3">
      <c r="A2047" s="1">
        <v>45530</v>
      </c>
      <c r="B2047" s="37">
        <v>448.28930000000003</v>
      </c>
      <c r="C2047" s="37">
        <v>448.28930000000003</v>
      </c>
      <c r="D2047" s="37">
        <v>448.28930000000003</v>
      </c>
      <c r="E2047" s="37">
        <v>448.28930000000003</v>
      </c>
    </row>
    <row r="2048" spans="1:5" x14ac:dyDescent="0.3">
      <c r="A2048" s="2">
        <v>45531</v>
      </c>
      <c r="B2048" s="36">
        <v>448.8569</v>
      </c>
      <c r="C2048" s="36">
        <v>448.8569</v>
      </c>
      <c r="D2048" s="36">
        <v>448.8569</v>
      </c>
      <c r="E2048" s="36">
        <v>448.8569</v>
      </c>
    </row>
    <row r="2049" spans="1:5" x14ac:dyDescent="0.3">
      <c r="A2049" s="1">
        <v>45532</v>
      </c>
      <c r="B2049" s="37">
        <v>449.42509999999999</v>
      </c>
      <c r="C2049" s="37">
        <v>449.42509999999999</v>
      </c>
      <c r="D2049" s="37">
        <v>449.42509999999999</v>
      </c>
      <c r="E2049" s="37">
        <v>449.42509999999999</v>
      </c>
    </row>
    <row r="2050" spans="1:5" x14ac:dyDescent="0.3">
      <c r="A2050" s="2">
        <v>45533</v>
      </c>
      <c r="B2050" s="36">
        <v>449.9941</v>
      </c>
      <c r="C2050" s="36">
        <v>449.9941</v>
      </c>
      <c r="D2050" s="36">
        <v>449.9941</v>
      </c>
      <c r="E2050" s="36">
        <v>449.9941</v>
      </c>
    </row>
    <row r="2051" spans="1:5" x14ac:dyDescent="0.3">
      <c r="A2051" s="1">
        <v>45534</v>
      </c>
      <c r="B2051" s="37">
        <v>450.56380000000001</v>
      </c>
      <c r="C2051" s="37">
        <v>450.56380000000001</v>
      </c>
      <c r="D2051" s="37">
        <v>450.56380000000001</v>
      </c>
      <c r="E2051" s="37">
        <v>450.56380000000001</v>
      </c>
    </row>
    <row r="2052" spans="1:5" x14ac:dyDescent="0.3">
      <c r="A2052" s="2">
        <v>45535</v>
      </c>
      <c r="B2052" s="36">
        <v>451.13420000000002</v>
      </c>
      <c r="C2052" s="36">
        <v>451.13420000000002</v>
      </c>
      <c r="D2052" s="36">
        <v>451.13420000000002</v>
      </c>
      <c r="E2052" s="36">
        <v>451.13420000000002</v>
      </c>
    </row>
    <row r="2053" spans="1:5" x14ac:dyDescent="0.3">
      <c r="A2053" s="1">
        <v>45536</v>
      </c>
      <c r="B2053" s="37">
        <v>451.70530000000002</v>
      </c>
      <c r="C2053" s="37">
        <v>451.70530000000002</v>
      </c>
      <c r="D2053" s="37">
        <v>451.70530000000002</v>
      </c>
      <c r="E2053" s="37">
        <v>451.70530000000002</v>
      </c>
    </row>
    <row r="2054" spans="1:5" x14ac:dyDescent="0.3">
      <c r="A2054" s="2">
        <v>45537</v>
      </c>
      <c r="B2054" s="36">
        <v>452.27710000000002</v>
      </c>
      <c r="C2054" s="36">
        <v>452.27710000000002</v>
      </c>
      <c r="D2054" s="36">
        <v>452.27710000000002</v>
      </c>
      <c r="E2054" s="36">
        <v>452.27710000000002</v>
      </c>
    </row>
    <row r="2055" spans="1:5" x14ac:dyDescent="0.3">
      <c r="A2055" s="1">
        <v>45538</v>
      </c>
      <c r="B2055" s="37">
        <v>452.84969999999998</v>
      </c>
      <c r="C2055" s="37">
        <v>452.84969999999998</v>
      </c>
      <c r="D2055" s="37">
        <v>452.84969999999998</v>
      </c>
      <c r="E2055" s="37">
        <v>452.84969999999998</v>
      </c>
    </row>
    <row r="2056" spans="1:5" x14ac:dyDescent="0.3">
      <c r="A2056" s="2">
        <v>45539</v>
      </c>
      <c r="B2056" s="36">
        <v>453.423</v>
      </c>
      <c r="C2056" s="36">
        <v>453.423</v>
      </c>
      <c r="D2056" s="36">
        <v>453.423</v>
      </c>
      <c r="E2056" s="36">
        <v>453.423</v>
      </c>
    </row>
    <row r="2057" spans="1:5" x14ac:dyDescent="0.3">
      <c r="A2057" s="1">
        <v>45540</v>
      </c>
      <c r="B2057" s="37">
        <v>453.99700000000001</v>
      </c>
      <c r="C2057" s="37">
        <v>453.99700000000001</v>
      </c>
      <c r="D2057" s="37">
        <v>453.99700000000001</v>
      </c>
      <c r="E2057" s="37">
        <v>453.99700000000001</v>
      </c>
    </row>
    <row r="2058" spans="1:5" x14ac:dyDescent="0.3">
      <c r="A2058" s="2">
        <v>45541</v>
      </c>
      <c r="B2058" s="36">
        <v>454.5718</v>
      </c>
      <c r="C2058" s="36">
        <v>454.5718</v>
      </c>
      <c r="D2058" s="36">
        <v>454.5718</v>
      </c>
      <c r="E2058" s="36">
        <v>454.5718</v>
      </c>
    </row>
    <row r="2059" spans="1:5" x14ac:dyDescent="0.3">
      <c r="A2059" s="1">
        <v>45542</v>
      </c>
      <c r="B2059" s="37">
        <v>455.14729999999997</v>
      </c>
      <c r="C2059" s="37">
        <v>455.14729999999997</v>
      </c>
      <c r="D2059" s="37">
        <v>455.14729999999997</v>
      </c>
      <c r="E2059" s="37">
        <v>455.14729999999997</v>
      </c>
    </row>
    <row r="2060" spans="1:5" x14ac:dyDescent="0.3">
      <c r="A2060" s="2">
        <v>45543</v>
      </c>
      <c r="B2060" s="36">
        <v>455.7235</v>
      </c>
      <c r="C2060" s="36">
        <v>455.7235</v>
      </c>
      <c r="D2060" s="36">
        <v>455.7235</v>
      </c>
      <c r="E2060" s="36">
        <v>455.7235</v>
      </c>
    </row>
    <row r="2061" spans="1:5" x14ac:dyDescent="0.3">
      <c r="A2061" s="1">
        <v>45544</v>
      </c>
      <c r="B2061" s="37">
        <v>456.30040000000002</v>
      </c>
      <c r="C2061" s="37">
        <v>456.30040000000002</v>
      </c>
      <c r="D2061" s="37">
        <v>456.30040000000002</v>
      </c>
      <c r="E2061" s="37">
        <v>456.30040000000002</v>
      </c>
    </row>
    <row r="2062" spans="1:5" x14ac:dyDescent="0.3">
      <c r="A2062" s="2">
        <v>45545</v>
      </c>
      <c r="B2062" s="36">
        <v>456.87810000000002</v>
      </c>
      <c r="C2062" s="36">
        <v>456.87810000000002</v>
      </c>
      <c r="D2062" s="36">
        <v>456.87810000000002</v>
      </c>
      <c r="E2062" s="36">
        <v>456.87810000000002</v>
      </c>
    </row>
    <row r="2063" spans="1:5" x14ac:dyDescent="0.3">
      <c r="A2063" s="1">
        <v>45546</v>
      </c>
      <c r="B2063" s="37">
        <v>457.45650000000001</v>
      </c>
      <c r="C2063" s="37">
        <v>457.45650000000001</v>
      </c>
      <c r="D2063" s="37">
        <v>457.45650000000001</v>
      </c>
      <c r="E2063" s="37">
        <v>457.45650000000001</v>
      </c>
    </row>
    <row r="2064" spans="1:5" x14ac:dyDescent="0.3">
      <c r="A2064" s="2">
        <v>45547</v>
      </c>
      <c r="B2064" s="36">
        <v>458.03559999999999</v>
      </c>
      <c r="C2064" s="36">
        <v>458.03559999999999</v>
      </c>
      <c r="D2064" s="36">
        <v>458.03559999999999</v>
      </c>
      <c r="E2064" s="36">
        <v>458.03559999999999</v>
      </c>
    </row>
    <row r="2065" spans="1:5" x14ac:dyDescent="0.3">
      <c r="A2065" s="1">
        <v>45548</v>
      </c>
      <c r="B2065" s="37">
        <v>458.6155</v>
      </c>
      <c r="C2065" s="37">
        <v>458.6155</v>
      </c>
      <c r="D2065" s="37">
        <v>458.6155</v>
      </c>
      <c r="E2065" s="37">
        <v>458.6155</v>
      </c>
    </row>
    <row r="2066" spans="1:5" x14ac:dyDescent="0.3">
      <c r="A2066" s="2">
        <v>45549</v>
      </c>
      <c r="B2066" s="36">
        <v>459.1961</v>
      </c>
      <c r="C2066" s="36">
        <v>459.1961</v>
      </c>
      <c r="D2066" s="36">
        <v>459.1961</v>
      </c>
      <c r="E2066" s="36">
        <v>459.1961</v>
      </c>
    </row>
    <row r="2067" spans="1:5" x14ac:dyDescent="0.3">
      <c r="A2067" s="1">
        <v>45550</v>
      </c>
      <c r="B2067" s="37">
        <v>459.7774</v>
      </c>
      <c r="C2067" s="37">
        <v>459.7774</v>
      </c>
      <c r="D2067" s="37">
        <v>459.7774</v>
      </c>
      <c r="E2067" s="37">
        <v>459.7774</v>
      </c>
    </row>
    <row r="2068" spans="1:5" x14ac:dyDescent="0.3">
      <c r="A2068" s="2">
        <v>45551</v>
      </c>
      <c r="B2068" s="36">
        <v>460.40839999999997</v>
      </c>
      <c r="C2068" s="36">
        <v>460.40839999999997</v>
      </c>
      <c r="D2068" s="36">
        <v>460.40839999999997</v>
      </c>
      <c r="E2068" s="36">
        <v>460.40839999999997</v>
      </c>
    </row>
    <row r="2069" spans="1:5" x14ac:dyDescent="0.3">
      <c r="A2069" s="1">
        <v>45552</v>
      </c>
      <c r="B2069" s="37">
        <v>461.04020000000003</v>
      </c>
      <c r="C2069" s="37">
        <v>461.04020000000003</v>
      </c>
      <c r="D2069" s="37">
        <v>461.04020000000003</v>
      </c>
      <c r="E2069" s="37">
        <v>461.04020000000003</v>
      </c>
    </row>
    <row r="2070" spans="1:5" x14ac:dyDescent="0.3">
      <c r="A2070" s="2">
        <v>45553</v>
      </c>
      <c r="B2070" s="36">
        <v>461.67290000000003</v>
      </c>
      <c r="C2070" s="36">
        <v>461.67290000000003</v>
      </c>
      <c r="D2070" s="36">
        <v>461.67290000000003</v>
      </c>
      <c r="E2070" s="36">
        <v>461.67290000000003</v>
      </c>
    </row>
    <row r="2071" spans="1:5" x14ac:dyDescent="0.3">
      <c r="A2071" s="1">
        <v>45554</v>
      </c>
      <c r="B2071" s="37">
        <v>462.30650000000003</v>
      </c>
      <c r="C2071" s="37">
        <v>462.30650000000003</v>
      </c>
      <c r="D2071" s="37">
        <v>462.30650000000003</v>
      </c>
      <c r="E2071" s="37">
        <v>462.30650000000003</v>
      </c>
    </row>
    <row r="2072" spans="1:5" x14ac:dyDescent="0.3">
      <c r="A2072" s="2">
        <v>45555</v>
      </c>
      <c r="B2072" s="36">
        <v>462.94099999999997</v>
      </c>
      <c r="C2072" s="36">
        <v>462.94099999999997</v>
      </c>
      <c r="D2072" s="36">
        <v>462.94099999999997</v>
      </c>
      <c r="E2072" s="36">
        <v>462.94099999999997</v>
      </c>
    </row>
    <row r="2073" spans="1:5" x14ac:dyDescent="0.3">
      <c r="A2073" s="1">
        <v>45556</v>
      </c>
      <c r="B2073" s="37">
        <v>463.5763</v>
      </c>
      <c r="C2073" s="37">
        <v>463.5763</v>
      </c>
      <c r="D2073" s="37">
        <v>463.5763</v>
      </c>
      <c r="E2073" s="37">
        <v>463.5763</v>
      </c>
    </row>
    <row r="2074" spans="1:5" x14ac:dyDescent="0.3">
      <c r="A2074" s="2">
        <v>45557</v>
      </c>
      <c r="B2074" s="36">
        <v>464.21249999999998</v>
      </c>
      <c r="C2074" s="36">
        <v>464.21249999999998</v>
      </c>
      <c r="D2074" s="36">
        <v>464.21249999999998</v>
      </c>
      <c r="E2074" s="36">
        <v>464.21249999999998</v>
      </c>
    </row>
    <row r="2075" spans="1:5" x14ac:dyDescent="0.3">
      <c r="A2075" s="1">
        <v>45558</v>
      </c>
      <c r="B2075" s="37">
        <v>464.84949999999998</v>
      </c>
      <c r="C2075" s="37">
        <v>464.84949999999998</v>
      </c>
      <c r="D2075" s="37">
        <v>464.84949999999998</v>
      </c>
      <c r="E2075" s="37">
        <v>464.84949999999998</v>
      </c>
    </row>
    <row r="2076" spans="1:5" x14ac:dyDescent="0.3">
      <c r="A2076" s="2">
        <v>45559</v>
      </c>
      <c r="B2076" s="36">
        <v>465.48739999999998</v>
      </c>
      <c r="C2076" s="36">
        <v>465.48739999999998</v>
      </c>
      <c r="D2076" s="36">
        <v>465.48739999999998</v>
      </c>
      <c r="E2076" s="36">
        <v>465.48739999999998</v>
      </c>
    </row>
    <row r="2077" spans="1:5" x14ac:dyDescent="0.3">
      <c r="A2077" s="1">
        <v>45560</v>
      </c>
      <c r="B2077" s="37">
        <v>466.12619999999998</v>
      </c>
      <c r="C2077" s="37">
        <v>466.12619999999998</v>
      </c>
      <c r="D2077" s="37">
        <v>466.12619999999998</v>
      </c>
      <c r="E2077" s="37">
        <v>466.12619999999998</v>
      </c>
    </row>
    <row r="2078" spans="1:5" x14ac:dyDescent="0.3">
      <c r="A2078" s="2">
        <v>45561</v>
      </c>
      <c r="B2078" s="36">
        <v>466.76589999999999</v>
      </c>
      <c r="C2078" s="36">
        <v>466.76589999999999</v>
      </c>
      <c r="D2078" s="36">
        <v>466.76589999999999</v>
      </c>
      <c r="E2078" s="36">
        <v>466.76589999999999</v>
      </c>
    </row>
    <row r="2079" spans="1:5" x14ac:dyDescent="0.3">
      <c r="A2079" s="1">
        <v>45562</v>
      </c>
      <c r="B2079" s="37">
        <v>467.40649999999999</v>
      </c>
      <c r="C2079" s="37">
        <v>467.40649999999999</v>
      </c>
      <c r="D2079" s="37">
        <v>467.40649999999999</v>
      </c>
      <c r="E2079" s="37">
        <v>467.40649999999999</v>
      </c>
    </row>
    <row r="2080" spans="1:5" x14ac:dyDescent="0.3">
      <c r="A2080" s="2">
        <v>45563</v>
      </c>
      <c r="B2080" s="36">
        <v>468.04790000000003</v>
      </c>
      <c r="C2080" s="36">
        <v>468.04790000000003</v>
      </c>
      <c r="D2080" s="36">
        <v>468.04790000000003</v>
      </c>
      <c r="E2080" s="36">
        <v>468.04790000000003</v>
      </c>
    </row>
    <row r="2081" spans="1:5" x14ac:dyDescent="0.3">
      <c r="A2081" s="1">
        <v>45564</v>
      </c>
      <c r="B2081" s="37">
        <v>468.69029999999998</v>
      </c>
      <c r="C2081" s="37">
        <v>468.69029999999998</v>
      </c>
      <c r="D2081" s="37">
        <v>468.69029999999998</v>
      </c>
      <c r="E2081" s="37">
        <v>468.69029999999998</v>
      </c>
    </row>
    <row r="2082" spans="1:5" x14ac:dyDescent="0.3">
      <c r="A2082" s="2">
        <v>45565</v>
      </c>
      <c r="B2082" s="36">
        <v>469.33350000000002</v>
      </c>
      <c r="C2082" s="36">
        <v>469.33350000000002</v>
      </c>
      <c r="D2082" s="36">
        <v>469.33350000000002</v>
      </c>
      <c r="E2082" s="36">
        <v>469.33350000000002</v>
      </c>
    </row>
    <row r="2083" spans="1:5" x14ac:dyDescent="0.3">
      <c r="A2083" s="1">
        <v>45566</v>
      </c>
      <c r="B2083" s="37">
        <v>469.97750000000002</v>
      </c>
      <c r="C2083" s="37">
        <v>469.97750000000002</v>
      </c>
      <c r="D2083" s="37">
        <v>469.97750000000002</v>
      </c>
      <c r="E2083" s="37">
        <v>469.97750000000002</v>
      </c>
    </row>
    <row r="2084" spans="1:5" x14ac:dyDescent="0.3">
      <c r="A2084" s="2">
        <v>45567</v>
      </c>
      <c r="B2084" s="36">
        <v>470.6225</v>
      </c>
      <c r="C2084" s="36">
        <v>470.6225</v>
      </c>
      <c r="D2084" s="36">
        <v>470.6225</v>
      </c>
      <c r="E2084" s="36">
        <v>470.6225</v>
      </c>
    </row>
    <row r="2085" spans="1:5" x14ac:dyDescent="0.3">
      <c r="A2085" s="1">
        <v>45568</v>
      </c>
      <c r="B2085" s="37">
        <v>471.26839999999999</v>
      </c>
      <c r="C2085" s="37">
        <v>471.26839999999999</v>
      </c>
      <c r="D2085" s="37">
        <v>471.26839999999999</v>
      </c>
      <c r="E2085" s="37">
        <v>471.26839999999999</v>
      </c>
    </row>
    <row r="2086" spans="1:5" x14ac:dyDescent="0.3">
      <c r="A2086" s="2">
        <v>45569</v>
      </c>
      <c r="B2086" s="36">
        <v>471.9151</v>
      </c>
      <c r="C2086" s="36">
        <v>471.9151</v>
      </c>
      <c r="D2086" s="36">
        <v>471.9151</v>
      </c>
      <c r="E2086" s="36">
        <v>471.9151</v>
      </c>
    </row>
    <row r="2087" spans="1:5" x14ac:dyDescent="0.3">
      <c r="A2087" s="1">
        <v>45570</v>
      </c>
      <c r="B2087" s="37">
        <v>472.56270000000001</v>
      </c>
      <c r="C2087" s="37">
        <v>472.56270000000001</v>
      </c>
      <c r="D2087" s="37">
        <v>472.56270000000001</v>
      </c>
      <c r="E2087" s="37">
        <v>472.56270000000001</v>
      </c>
    </row>
    <row r="2088" spans="1:5" x14ac:dyDescent="0.3">
      <c r="A2088" s="2">
        <v>45571</v>
      </c>
      <c r="B2088" s="36">
        <v>473.21120000000002</v>
      </c>
      <c r="C2088" s="36">
        <v>473.21120000000002</v>
      </c>
      <c r="D2088" s="36">
        <v>473.21120000000002</v>
      </c>
      <c r="E2088" s="36">
        <v>473.21120000000002</v>
      </c>
    </row>
    <row r="2089" spans="1:5" x14ac:dyDescent="0.3">
      <c r="A2089" s="1">
        <v>45572</v>
      </c>
      <c r="B2089" s="37">
        <v>473.86070000000001</v>
      </c>
      <c r="C2089" s="37">
        <v>473.86070000000001</v>
      </c>
      <c r="D2089" s="37">
        <v>473.86070000000001</v>
      </c>
      <c r="E2089" s="37">
        <v>473.86070000000001</v>
      </c>
    </row>
    <row r="2090" spans="1:5" x14ac:dyDescent="0.3">
      <c r="A2090" s="2">
        <v>45573</v>
      </c>
      <c r="B2090" s="36">
        <v>474.51089999999999</v>
      </c>
      <c r="C2090" s="36">
        <v>474.51089999999999</v>
      </c>
      <c r="D2090" s="36">
        <v>474.51089999999999</v>
      </c>
      <c r="E2090" s="36">
        <v>474.51089999999999</v>
      </c>
    </row>
    <row r="2091" spans="1:5" x14ac:dyDescent="0.3">
      <c r="A2091" s="1">
        <v>45574</v>
      </c>
      <c r="B2091" s="37">
        <v>475.16210000000001</v>
      </c>
      <c r="C2091" s="37">
        <v>475.16210000000001</v>
      </c>
      <c r="D2091" s="37">
        <v>475.16210000000001</v>
      </c>
      <c r="E2091" s="37">
        <v>475.16210000000001</v>
      </c>
    </row>
    <row r="2092" spans="1:5" x14ac:dyDescent="0.3">
      <c r="A2092" s="2">
        <v>45575</v>
      </c>
      <c r="B2092" s="36">
        <v>475.81420000000003</v>
      </c>
      <c r="C2092" s="36">
        <v>475.81420000000003</v>
      </c>
      <c r="D2092" s="36">
        <v>475.81420000000003</v>
      </c>
      <c r="E2092" s="36">
        <v>475.81420000000003</v>
      </c>
    </row>
    <row r="2093" spans="1:5" x14ac:dyDescent="0.3">
      <c r="A2093" s="1">
        <v>45576</v>
      </c>
      <c r="B2093" s="37">
        <v>476.46719999999999</v>
      </c>
      <c r="C2093" s="37">
        <v>476.46719999999999</v>
      </c>
      <c r="D2093" s="37">
        <v>476.46719999999999</v>
      </c>
      <c r="E2093" s="37">
        <v>476.46719999999999</v>
      </c>
    </row>
    <row r="2094" spans="1:5" x14ac:dyDescent="0.3">
      <c r="A2094" s="2">
        <v>45577</v>
      </c>
      <c r="B2094" s="36">
        <v>477.12110000000001</v>
      </c>
      <c r="C2094" s="36">
        <v>477.12110000000001</v>
      </c>
      <c r="D2094" s="36">
        <v>477.12110000000001</v>
      </c>
      <c r="E2094" s="36">
        <v>477.12110000000001</v>
      </c>
    </row>
    <row r="2095" spans="1:5" x14ac:dyDescent="0.3">
      <c r="A2095" s="1">
        <v>45578</v>
      </c>
      <c r="B2095" s="37">
        <v>477.7758</v>
      </c>
      <c r="C2095" s="37">
        <v>477.7758</v>
      </c>
      <c r="D2095" s="37">
        <v>477.7758</v>
      </c>
      <c r="E2095" s="37">
        <v>477.7758</v>
      </c>
    </row>
    <row r="2096" spans="1:5" x14ac:dyDescent="0.3">
      <c r="A2096" s="2">
        <v>45579</v>
      </c>
      <c r="B2096" s="36">
        <v>478.43150000000003</v>
      </c>
      <c r="C2096" s="36">
        <v>478.43150000000003</v>
      </c>
      <c r="D2096" s="36">
        <v>478.43150000000003</v>
      </c>
      <c r="E2096" s="36">
        <v>478.43150000000003</v>
      </c>
    </row>
    <row r="2097" spans="1:5" x14ac:dyDescent="0.3">
      <c r="A2097" s="1">
        <v>45580</v>
      </c>
      <c r="B2097" s="37">
        <v>479.0881</v>
      </c>
      <c r="C2097" s="37">
        <v>479.0881</v>
      </c>
      <c r="D2097" s="37">
        <v>479.0881</v>
      </c>
      <c r="E2097" s="37">
        <v>479.0881</v>
      </c>
    </row>
    <row r="2098" spans="1:5" x14ac:dyDescent="0.3">
      <c r="A2098" s="2">
        <v>45581</v>
      </c>
      <c r="B2098" s="36">
        <v>479.62</v>
      </c>
      <c r="C2098" s="36">
        <v>479.62</v>
      </c>
      <c r="D2098" s="36">
        <v>479.62</v>
      </c>
      <c r="E2098" s="36">
        <v>479.62</v>
      </c>
    </row>
    <row r="2099" spans="1:5" x14ac:dyDescent="0.3">
      <c r="A2099" s="1">
        <v>45582</v>
      </c>
      <c r="B2099" s="37">
        <v>480.15260000000001</v>
      </c>
      <c r="C2099" s="37">
        <v>480.15260000000001</v>
      </c>
      <c r="D2099" s="37">
        <v>480.15260000000001</v>
      </c>
      <c r="E2099" s="37">
        <v>480.15260000000001</v>
      </c>
    </row>
    <row r="2100" spans="1:5" x14ac:dyDescent="0.3">
      <c r="A2100" s="2">
        <v>45583</v>
      </c>
      <c r="B2100" s="36">
        <v>480.6857</v>
      </c>
      <c r="C2100" s="36">
        <v>480.6857</v>
      </c>
      <c r="D2100" s="36">
        <v>480.6857</v>
      </c>
      <c r="E2100" s="36">
        <v>480.6857</v>
      </c>
    </row>
    <row r="2101" spans="1:5" x14ac:dyDescent="0.3">
      <c r="A2101" s="1">
        <v>45584</v>
      </c>
      <c r="B2101" s="37">
        <v>481.21940000000001</v>
      </c>
      <c r="C2101" s="37">
        <v>481.21940000000001</v>
      </c>
      <c r="D2101" s="37">
        <v>481.21940000000001</v>
      </c>
      <c r="E2101" s="37">
        <v>481.21940000000001</v>
      </c>
    </row>
    <row r="2102" spans="1:5" x14ac:dyDescent="0.3">
      <c r="A2102" s="2">
        <v>45585</v>
      </c>
      <c r="B2102" s="36">
        <v>481.75380000000001</v>
      </c>
      <c r="C2102" s="36">
        <v>481.75380000000001</v>
      </c>
      <c r="D2102" s="36">
        <v>481.75380000000001</v>
      </c>
      <c r="E2102" s="36">
        <v>481.75380000000001</v>
      </c>
    </row>
    <row r="2103" spans="1:5" x14ac:dyDescent="0.3">
      <c r="A2103" s="1">
        <v>45586</v>
      </c>
      <c r="B2103" s="37">
        <v>482.28870000000001</v>
      </c>
      <c r="C2103" s="37">
        <v>482.28870000000001</v>
      </c>
      <c r="D2103" s="37">
        <v>482.28870000000001</v>
      </c>
      <c r="E2103" s="37">
        <v>482.28870000000001</v>
      </c>
    </row>
    <row r="2104" spans="1:5" x14ac:dyDescent="0.3">
      <c r="A2104" s="2">
        <v>45587</v>
      </c>
      <c r="B2104" s="36">
        <v>482.82420000000002</v>
      </c>
      <c r="C2104" s="36">
        <v>482.82420000000002</v>
      </c>
      <c r="D2104" s="36">
        <v>482.82420000000002</v>
      </c>
      <c r="E2104" s="36">
        <v>482.82420000000002</v>
      </c>
    </row>
    <row r="2105" spans="1:5" x14ac:dyDescent="0.3">
      <c r="A2105" s="1">
        <v>45588</v>
      </c>
      <c r="B2105" s="37">
        <v>483.3603</v>
      </c>
      <c r="C2105" s="37">
        <v>483.3603</v>
      </c>
      <c r="D2105" s="37">
        <v>483.3603</v>
      </c>
      <c r="E2105" s="37">
        <v>483.3603</v>
      </c>
    </row>
    <row r="2106" spans="1:5" x14ac:dyDescent="0.3">
      <c r="A2106" s="2">
        <v>45589</v>
      </c>
      <c r="B2106" s="36">
        <v>483.89699999999999</v>
      </c>
      <c r="C2106" s="36">
        <v>483.89699999999999</v>
      </c>
      <c r="D2106" s="36">
        <v>483.89699999999999</v>
      </c>
      <c r="E2106" s="36">
        <v>483.89699999999999</v>
      </c>
    </row>
    <row r="2107" spans="1:5" x14ac:dyDescent="0.3">
      <c r="A2107" s="1">
        <v>45590</v>
      </c>
      <c r="B2107" s="37">
        <v>484.43419999999998</v>
      </c>
      <c r="C2107" s="37">
        <v>484.43419999999998</v>
      </c>
      <c r="D2107" s="37">
        <v>484.43419999999998</v>
      </c>
      <c r="E2107" s="37">
        <v>484.43419999999998</v>
      </c>
    </row>
    <row r="2108" spans="1:5" x14ac:dyDescent="0.3">
      <c r="A2108" s="2">
        <v>45591</v>
      </c>
      <c r="B2108" s="36">
        <v>484.97210000000001</v>
      </c>
      <c r="C2108" s="36">
        <v>484.97210000000001</v>
      </c>
      <c r="D2108" s="36">
        <v>484.97210000000001</v>
      </c>
      <c r="E2108" s="36">
        <v>484.97210000000001</v>
      </c>
    </row>
    <row r="2109" spans="1:5" x14ac:dyDescent="0.3">
      <c r="A2109" s="1">
        <v>45592</v>
      </c>
      <c r="B2109" s="37">
        <v>485.51060000000001</v>
      </c>
      <c r="C2109" s="37">
        <v>485.51060000000001</v>
      </c>
      <c r="D2109" s="37">
        <v>485.51060000000001</v>
      </c>
      <c r="E2109" s="37">
        <v>485.51060000000001</v>
      </c>
    </row>
    <row r="2110" spans="1:5" x14ac:dyDescent="0.3">
      <c r="A2110" s="2">
        <v>45593</v>
      </c>
      <c r="B2110" s="36">
        <v>486.04969999999997</v>
      </c>
      <c r="C2110" s="36">
        <v>486.04969999999997</v>
      </c>
      <c r="D2110" s="36">
        <v>486.04969999999997</v>
      </c>
      <c r="E2110" s="36">
        <v>486.04969999999997</v>
      </c>
    </row>
    <row r="2111" spans="1:5" x14ac:dyDescent="0.3">
      <c r="A2111" s="1">
        <v>45594</v>
      </c>
      <c r="B2111" s="37">
        <v>486.58940000000001</v>
      </c>
      <c r="C2111" s="37">
        <v>486.58940000000001</v>
      </c>
      <c r="D2111" s="37">
        <v>486.58940000000001</v>
      </c>
      <c r="E2111" s="37">
        <v>486.58940000000001</v>
      </c>
    </row>
    <row r="2112" spans="1:5" x14ac:dyDescent="0.3">
      <c r="A2112" s="2">
        <v>45595</v>
      </c>
      <c r="B2112" s="36">
        <v>487.12970000000001</v>
      </c>
      <c r="C2112" s="36">
        <v>487.12970000000001</v>
      </c>
      <c r="D2112" s="36">
        <v>487.12970000000001</v>
      </c>
      <c r="E2112" s="36">
        <v>487.12970000000001</v>
      </c>
    </row>
    <row r="2113" spans="1:5" x14ac:dyDescent="0.3">
      <c r="A2113" s="1">
        <v>45596</v>
      </c>
      <c r="B2113" s="37">
        <v>487.6705</v>
      </c>
      <c r="C2113" s="37">
        <v>487.6705</v>
      </c>
      <c r="D2113" s="37">
        <v>487.6705</v>
      </c>
      <c r="E2113" s="37">
        <v>487.6705</v>
      </c>
    </row>
    <row r="2114" spans="1:5" x14ac:dyDescent="0.3">
      <c r="A2114" s="2">
        <v>45597</v>
      </c>
      <c r="B2114" s="36">
        <v>488.21199999999999</v>
      </c>
      <c r="C2114" s="36">
        <v>488.21199999999999</v>
      </c>
      <c r="D2114" s="36">
        <v>488.21199999999999</v>
      </c>
      <c r="E2114" s="36">
        <v>488.21199999999999</v>
      </c>
    </row>
    <row r="2115" spans="1:5" x14ac:dyDescent="0.3">
      <c r="A2115" s="1">
        <v>45598</v>
      </c>
      <c r="B2115" s="37">
        <v>488.75409999999999</v>
      </c>
      <c r="C2115" s="37">
        <v>488.75409999999999</v>
      </c>
      <c r="D2115" s="37">
        <v>488.75409999999999</v>
      </c>
      <c r="E2115" s="37">
        <v>488.75409999999999</v>
      </c>
    </row>
    <row r="2116" spans="1:5" x14ac:dyDescent="0.3">
      <c r="A2116" s="2">
        <v>45599</v>
      </c>
      <c r="B2116" s="36">
        <v>489.29680000000002</v>
      </c>
      <c r="C2116" s="36">
        <v>489.29680000000002</v>
      </c>
      <c r="D2116" s="36">
        <v>489.29680000000002</v>
      </c>
      <c r="E2116" s="36">
        <v>489.29680000000002</v>
      </c>
    </row>
    <row r="2117" spans="1:5" x14ac:dyDescent="0.3">
      <c r="A2117" s="1">
        <v>45600</v>
      </c>
      <c r="B2117" s="37">
        <v>489.84010000000001</v>
      </c>
      <c r="C2117" s="37">
        <v>489.84010000000001</v>
      </c>
      <c r="D2117" s="37">
        <v>489.84010000000001</v>
      </c>
      <c r="E2117" s="37">
        <v>489.84010000000001</v>
      </c>
    </row>
    <row r="2118" spans="1:5" x14ac:dyDescent="0.3">
      <c r="A2118" s="2">
        <v>45601</v>
      </c>
      <c r="B2118" s="36">
        <v>490.38400000000001</v>
      </c>
      <c r="C2118" s="36">
        <v>490.38400000000001</v>
      </c>
      <c r="D2118" s="36">
        <v>490.38400000000001</v>
      </c>
      <c r="E2118" s="36">
        <v>490.38400000000001</v>
      </c>
    </row>
    <row r="2119" spans="1:5" x14ac:dyDescent="0.3">
      <c r="A2119" s="1">
        <v>45602</v>
      </c>
      <c r="B2119" s="37">
        <v>490.92840000000001</v>
      </c>
      <c r="C2119" s="37">
        <v>490.92840000000001</v>
      </c>
      <c r="D2119" s="37">
        <v>490.92840000000001</v>
      </c>
      <c r="E2119" s="37">
        <v>490.92840000000001</v>
      </c>
    </row>
    <row r="2120" spans="1:5" x14ac:dyDescent="0.3">
      <c r="A2120" s="2">
        <v>45603</v>
      </c>
      <c r="B2120" s="36">
        <v>491.4735</v>
      </c>
      <c r="C2120" s="36">
        <v>491.4735</v>
      </c>
      <c r="D2120" s="36">
        <v>491.4735</v>
      </c>
      <c r="E2120" s="36">
        <v>491.4735</v>
      </c>
    </row>
    <row r="2121" spans="1:5" x14ac:dyDescent="0.3">
      <c r="A2121" s="1">
        <v>45604</v>
      </c>
      <c r="B2121" s="37">
        <v>492.01920000000001</v>
      </c>
      <c r="C2121" s="37">
        <v>492.01920000000001</v>
      </c>
      <c r="D2121" s="37">
        <v>492.01920000000001</v>
      </c>
      <c r="E2121" s="37">
        <v>492.01920000000001</v>
      </c>
    </row>
    <row r="2122" spans="1:5" x14ac:dyDescent="0.3">
      <c r="A2122" s="2">
        <v>45605</v>
      </c>
      <c r="B2122" s="36">
        <v>492.56560000000002</v>
      </c>
      <c r="C2122" s="36">
        <v>492.56560000000002</v>
      </c>
      <c r="D2122" s="36">
        <v>492.56560000000002</v>
      </c>
      <c r="E2122" s="36">
        <v>492.56560000000002</v>
      </c>
    </row>
    <row r="2123" spans="1:5" x14ac:dyDescent="0.3">
      <c r="A2123" s="1">
        <v>45606</v>
      </c>
      <c r="B2123" s="37">
        <v>493.11250000000001</v>
      </c>
      <c r="C2123" s="37">
        <v>493.11250000000001</v>
      </c>
      <c r="D2123" s="37">
        <v>493.11250000000001</v>
      </c>
      <c r="E2123" s="37">
        <v>493.11250000000001</v>
      </c>
    </row>
    <row r="2124" spans="1:5" x14ac:dyDescent="0.3">
      <c r="A2124" s="2">
        <v>45607</v>
      </c>
      <c r="B2124" s="36">
        <v>493.66</v>
      </c>
      <c r="C2124" s="36">
        <v>493.66</v>
      </c>
      <c r="D2124" s="36">
        <v>493.66</v>
      </c>
      <c r="E2124" s="36">
        <v>493.66</v>
      </c>
    </row>
    <row r="2125" spans="1:5" x14ac:dyDescent="0.3">
      <c r="A2125" s="1">
        <v>45608</v>
      </c>
      <c r="B2125" s="37">
        <v>494.2081</v>
      </c>
      <c r="C2125" s="37">
        <v>494.2081</v>
      </c>
      <c r="D2125" s="37">
        <v>494.2081</v>
      </c>
      <c r="E2125" s="37">
        <v>494.2081</v>
      </c>
    </row>
    <row r="2126" spans="1:5" x14ac:dyDescent="0.3">
      <c r="A2126" s="2">
        <v>45609</v>
      </c>
      <c r="B2126" s="36">
        <v>494.75689999999997</v>
      </c>
      <c r="C2126" s="36">
        <v>494.75689999999997</v>
      </c>
      <c r="D2126" s="36">
        <v>494.75689999999997</v>
      </c>
      <c r="E2126" s="36">
        <v>494.75689999999997</v>
      </c>
    </row>
    <row r="2127" spans="1:5" x14ac:dyDescent="0.3">
      <c r="A2127" s="1">
        <v>45610</v>
      </c>
      <c r="B2127" s="37">
        <v>495.30619999999999</v>
      </c>
      <c r="C2127" s="37">
        <v>495.30619999999999</v>
      </c>
      <c r="D2127" s="37">
        <v>495.30619999999999</v>
      </c>
      <c r="E2127" s="37">
        <v>495.30619999999999</v>
      </c>
    </row>
    <row r="2128" spans="1:5" x14ac:dyDescent="0.3">
      <c r="A2128" s="2">
        <v>45611</v>
      </c>
      <c r="B2128" s="36">
        <v>495.8562</v>
      </c>
      <c r="C2128" s="36">
        <v>495.8562</v>
      </c>
      <c r="D2128" s="36">
        <v>495.8562</v>
      </c>
      <c r="E2128" s="36">
        <v>495.8562</v>
      </c>
    </row>
    <row r="2129" spans="1:5" x14ac:dyDescent="0.3">
      <c r="A2129" s="1">
        <v>45612</v>
      </c>
      <c r="B2129" s="37">
        <v>496.29669999999999</v>
      </c>
      <c r="C2129" s="37">
        <v>496.29669999999999</v>
      </c>
      <c r="D2129" s="37">
        <v>496.29669999999999</v>
      </c>
      <c r="E2129" s="37">
        <v>496.29669999999999</v>
      </c>
    </row>
    <row r="2130" spans="1:5" x14ac:dyDescent="0.3">
      <c r="A2130" s="2">
        <v>45613</v>
      </c>
      <c r="B2130" s="36">
        <v>496.73770000000002</v>
      </c>
      <c r="C2130" s="36">
        <v>496.73770000000002</v>
      </c>
      <c r="D2130" s="36">
        <v>496.73770000000002</v>
      </c>
      <c r="E2130" s="36">
        <v>496.73770000000002</v>
      </c>
    </row>
    <row r="2131" spans="1:5" x14ac:dyDescent="0.3">
      <c r="A2131" s="1">
        <v>45614</v>
      </c>
      <c r="B2131" s="37">
        <v>497.17899999999997</v>
      </c>
      <c r="C2131" s="37">
        <v>497.17899999999997</v>
      </c>
      <c r="D2131" s="37">
        <v>497.17899999999997</v>
      </c>
      <c r="E2131" s="37">
        <v>497.17899999999997</v>
      </c>
    </row>
    <row r="2132" spans="1:5" x14ac:dyDescent="0.3">
      <c r="A2132" s="2">
        <v>45615</v>
      </c>
      <c r="B2132" s="36">
        <v>497.6207</v>
      </c>
      <c r="C2132" s="36">
        <v>497.6207</v>
      </c>
      <c r="D2132" s="36">
        <v>497.6207</v>
      </c>
      <c r="E2132" s="36">
        <v>497.6207</v>
      </c>
    </row>
    <row r="2133" spans="1:5" x14ac:dyDescent="0.3">
      <c r="A2133" s="1">
        <v>45616</v>
      </c>
      <c r="B2133" s="37">
        <v>498.06279999999998</v>
      </c>
      <c r="C2133" s="37">
        <v>498.06279999999998</v>
      </c>
      <c r="D2133" s="37">
        <v>498.06279999999998</v>
      </c>
      <c r="E2133" s="37">
        <v>498.06279999999998</v>
      </c>
    </row>
    <row r="2134" spans="1:5" x14ac:dyDescent="0.3">
      <c r="A2134" s="2">
        <v>45617</v>
      </c>
      <c r="B2134" s="36">
        <v>498.50529999999998</v>
      </c>
      <c r="C2134" s="36">
        <v>498.50529999999998</v>
      </c>
      <c r="D2134" s="36">
        <v>498.50529999999998</v>
      </c>
      <c r="E2134" s="36">
        <v>498.50529999999998</v>
      </c>
    </row>
    <row r="2135" spans="1:5" x14ac:dyDescent="0.3">
      <c r="A2135" s="1">
        <v>45618</v>
      </c>
      <c r="B2135" s="37">
        <v>498.94819999999999</v>
      </c>
      <c r="C2135" s="37">
        <v>498.94819999999999</v>
      </c>
      <c r="D2135" s="37">
        <v>498.94819999999999</v>
      </c>
      <c r="E2135" s="37">
        <v>498.94819999999999</v>
      </c>
    </row>
    <row r="2136" spans="1:5" x14ac:dyDescent="0.3">
      <c r="A2136" s="2">
        <v>45619</v>
      </c>
      <c r="B2136" s="36">
        <v>499.39150000000001</v>
      </c>
      <c r="C2136" s="36">
        <v>499.39150000000001</v>
      </c>
      <c r="D2136" s="36">
        <v>499.39150000000001</v>
      </c>
      <c r="E2136" s="36">
        <v>499.39150000000001</v>
      </c>
    </row>
    <row r="2137" spans="1:5" x14ac:dyDescent="0.3">
      <c r="A2137" s="1">
        <v>45620</v>
      </c>
      <c r="B2137" s="37">
        <v>499.83519999999999</v>
      </c>
      <c r="C2137" s="37">
        <v>499.83519999999999</v>
      </c>
      <c r="D2137" s="37">
        <v>499.83519999999999</v>
      </c>
      <c r="E2137" s="37">
        <v>499.83519999999999</v>
      </c>
    </row>
    <row r="2138" spans="1:5" x14ac:dyDescent="0.3">
      <c r="A2138" s="2">
        <v>45621</v>
      </c>
      <c r="B2138" s="36">
        <v>500.27929999999998</v>
      </c>
      <c r="C2138" s="36">
        <v>500.27929999999998</v>
      </c>
      <c r="D2138" s="36">
        <v>500.27929999999998</v>
      </c>
      <c r="E2138" s="36">
        <v>500.27929999999998</v>
      </c>
    </row>
    <row r="2139" spans="1:5" x14ac:dyDescent="0.3">
      <c r="A2139" s="1">
        <v>45622</v>
      </c>
      <c r="B2139" s="37">
        <v>500.72379999999998</v>
      </c>
      <c r="C2139" s="37">
        <v>500.72379999999998</v>
      </c>
      <c r="D2139" s="37">
        <v>500.72379999999998</v>
      </c>
      <c r="E2139" s="37">
        <v>500.72379999999998</v>
      </c>
    </row>
    <row r="2140" spans="1:5" x14ac:dyDescent="0.3">
      <c r="A2140" s="2">
        <v>45623</v>
      </c>
      <c r="B2140" s="36">
        <v>501.1687</v>
      </c>
      <c r="C2140" s="36">
        <v>501.1687</v>
      </c>
      <c r="D2140" s="36">
        <v>501.1687</v>
      </c>
      <c r="E2140" s="36">
        <v>501.1687</v>
      </c>
    </row>
    <row r="2141" spans="1:5" x14ac:dyDescent="0.3">
      <c r="A2141" s="1">
        <v>45624</v>
      </c>
      <c r="B2141" s="37">
        <v>501.6139</v>
      </c>
      <c r="C2141" s="37">
        <v>501.6139</v>
      </c>
      <c r="D2141" s="37">
        <v>501.6139</v>
      </c>
      <c r="E2141" s="37">
        <v>501.6139</v>
      </c>
    </row>
    <row r="2142" spans="1:5" x14ac:dyDescent="0.3">
      <c r="A2142" s="2">
        <v>45625</v>
      </c>
      <c r="B2142" s="36">
        <v>502.05959999999999</v>
      </c>
      <c r="C2142" s="36">
        <v>502.05959999999999</v>
      </c>
      <c r="D2142" s="36">
        <v>502.05959999999999</v>
      </c>
      <c r="E2142" s="36">
        <v>502.05959999999999</v>
      </c>
    </row>
    <row r="2143" spans="1:5" x14ac:dyDescent="0.3">
      <c r="A2143" s="1">
        <v>45626</v>
      </c>
      <c r="B2143" s="37">
        <v>502.50560000000002</v>
      </c>
      <c r="C2143" s="37">
        <v>502.50560000000002</v>
      </c>
      <c r="D2143" s="37">
        <v>502.50560000000002</v>
      </c>
      <c r="E2143" s="37">
        <v>502.50560000000002</v>
      </c>
    </row>
    <row r="2144" spans="1:5" x14ac:dyDescent="0.3">
      <c r="A2144" s="2">
        <v>45627</v>
      </c>
      <c r="B2144" s="36">
        <v>502.95209999999997</v>
      </c>
      <c r="C2144" s="36">
        <v>502.95209999999997</v>
      </c>
      <c r="D2144" s="36">
        <v>502.95209999999997</v>
      </c>
      <c r="E2144" s="36">
        <v>502.95209999999997</v>
      </c>
    </row>
    <row r="2145" spans="1:5" x14ac:dyDescent="0.3">
      <c r="A2145" s="1">
        <v>45628</v>
      </c>
      <c r="B2145" s="37">
        <v>503.399</v>
      </c>
      <c r="C2145" s="37">
        <v>503.399</v>
      </c>
      <c r="D2145" s="37">
        <v>503.399</v>
      </c>
      <c r="E2145" s="37">
        <v>503.399</v>
      </c>
    </row>
    <row r="2146" spans="1:5" x14ac:dyDescent="0.3">
      <c r="A2146" s="2">
        <v>45629</v>
      </c>
      <c r="B2146" s="36">
        <v>503.84620000000001</v>
      </c>
      <c r="C2146" s="36">
        <v>503.84620000000001</v>
      </c>
      <c r="D2146" s="36">
        <v>503.84620000000001</v>
      </c>
      <c r="E2146" s="36">
        <v>503.84620000000001</v>
      </c>
    </row>
    <row r="2147" spans="1:5" x14ac:dyDescent="0.3">
      <c r="A2147" s="1">
        <v>45630</v>
      </c>
      <c r="B2147" s="37">
        <v>504.29379999999998</v>
      </c>
      <c r="C2147" s="37">
        <v>504.29379999999998</v>
      </c>
      <c r="D2147" s="37">
        <v>504.29379999999998</v>
      </c>
      <c r="E2147" s="37">
        <v>504.29379999999998</v>
      </c>
    </row>
    <row r="2148" spans="1:5" x14ac:dyDescent="0.3">
      <c r="A2148" s="2">
        <v>45631</v>
      </c>
      <c r="B2148" s="36">
        <v>504.74189999999999</v>
      </c>
      <c r="C2148" s="36">
        <v>504.74189999999999</v>
      </c>
      <c r="D2148" s="36">
        <v>504.74189999999999</v>
      </c>
      <c r="E2148" s="36">
        <v>504.74189999999999</v>
      </c>
    </row>
    <row r="2149" spans="1:5" x14ac:dyDescent="0.3">
      <c r="A2149" s="1">
        <v>45632</v>
      </c>
      <c r="B2149" s="37">
        <v>505.19029999999998</v>
      </c>
      <c r="C2149" s="37">
        <v>505.19029999999998</v>
      </c>
      <c r="D2149" s="37">
        <v>505.19029999999998</v>
      </c>
      <c r="E2149" s="37">
        <v>505.19029999999998</v>
      </c>
    </row>
    <row r="2150" spans="1:5" x14ac:dyDescent="0.3">
      <c r="A2150" s="2">
        <v>45633</v>
      </c>
      <c r="B2150" s="36">
        <v>505.63920000000002</v>
      </c>
      <c r="C2150" s="36">
        <v>505.63920000000002</v>
      </c>
      <c r="D2150" s="36">
        <v>505.63920000000002</v>
      </c>
      <c r="E2150" s="36">
        <v>505.63920000000002</v>
      </c>
    </row>
    <row r="2151" spans="1:5" x14ac:dyDescent="0.3">
      <c r="A2151" s="1">
        <v>45634</v>
      </c>
      <c r="B2151" s="37">
        <v>506.08839999999998</v>
      </c>
      <c r="C2151" s="37">
        <v>506.08839999999998</v>
      </c>
      <c r="D2151" s="37">
        <v>506.08839999999998</v>
      </c>
      <c r="E2151" s="37">
        <v>506.08839999999998</v>
      </c>
    </row>
    <row r="2152" spans="1:5" x14ac:dyDescent="0.3">
      <c r="A2152" s="2">
        <v>45635</v>
      </c>
      <c r="B2152" s="36">
        <v>506.53809999999999</v>
      </c>
      <c r="C2152" s="36">
        <v>506.53809999999999</v>
      </c>
      <c r="D2152" s="36">
        <v>506.53809999999999</v>
      </c>
      <c r="E2152" s="36">
        <v>506.53809999999999</v>
      </c>
    </row>
    <row r="2153" spans="1:5" x14ac:dyDescent="0.3">
      <c r="A2153" s="1">
        <v>45636</v>
      </c>
      <c r="B2153" s="37">
        <v>506.98809999999997</v>
      </c>
      <c r="C2153" s="37">
        <v>506.98809999999997</v>
      </c>
      <c r="D2153" s="37">
        <v>506.98809999999997</v>
      </c>
      <c r="E2153" s="37">
        <v>506.98809999999997</v>
      </c>
    </row>
    <row r="2154" spans="1:5" x14ac:dyDescent="0.3">
      <c r="A2154" s="2">
        <v>45637</v>
      </c>
      <c r="B2154" s="36">
        <v>507.43849999999998</v>
      </c>
      <c r="C2154" s="36">
        <v>507.43849999999998</v>
      </c>
      <c r="D2154" s="36">
        <v>507.43849999999998</v>
      </c>
      <c r="E2154" s="36">
        <v>507.43849999999998</v>
      </c>
    </row>
    <row r="2155" spans="1:5" x14ac:dyDescent="0.3">
      <c r="A2155" s="1">
        <v>45638</v>
      </c>
      <c r="B2155" s="37">
        <v>507.88940000000002</v>
      </c>
      <c r="C2155" s="37">
        <v>507.88940000000002</v>
      </c>
      <c r="D2155" s="37">
        <v>507.88940000000002</v>
      </c>
      <c r="E2155" s="37">
        <v>507.88940000000002</v>
      </c>
    </row>
    <row r="2156" spans="1:5" x14ac:dyDescent="0.3">
      <c r="A2156" s="2">
        <v>45639</v>
      </c>
      <c r="B2156" s="36">
        <v>508.34059999999999</v>
      </c>
      <c r="C2156" s="36">
        <v>508.34059999999999</v>
      </c>
      <c r="D2156" s="36">
        <v>508.34059999999999</v>
      </c>
      <c r="E2156" s="36">
        <v>508.34059999999999</v>
      </c>
    </row>
    <row r="2157" spans="1:5" x14ac:dyDescent="0.3">
      <c r="A2157" s="1">
        <v>45640</v>
      </c>
      <c r="B2157" s="37">
        <v>508.79219999999998</v>
      </c>
      <c r="C2157" s="37">
        <v>508.79219999999998</v>
      </c>
      <c r="D2157" s="37">
        <v>508.79219999999998</v>
      </c>
      <c r="E2157" s="37">
        <v>508.79219999999998</v>
      </c>
    </row>
    <row r="2158" spans="1:5" x14ac:dyDescent="0.3">
      <c r="A2158" s="2">
        <v>45641</v>
      </c>
      <c r="B2158" s="36">
        <v>509.24430000000001</v>
      </c>
      <c r="C2158" s="36">
        <v>509.24430000000001</v>
      </c>
      <c r="D2158" s="36">
        <v>509.24430000000001</v>
      </c>
      <c r="E2158" s="36">
        <v>509.24430000000001</v>
      </c>
    </row>
    <row r="2159" spans="1:5" x14ac:dyDescent="0.3">
      <c r="A2159" s="1">
        <v>45642</v>
      </c>
      <c r="B2159" s="37">
        <v>509.63400000000001</v>
      </c>
      <c r="C2159" s="37">
        <v>509.63400000000001</v>
      </c>
      <c r="D2159" s="37">
        <v>509.63400000000001</v>
      </c>
      <c r="E2159" s="37">
        <v>509.63400000000001</v>
      </c>
    </row>
    <row r="2160" spans="1:5" x14ac:dyDescent="0.3">
      <c r="A2160" s="2">
        <v>45643</v>
      </c>
      <c r="B2160" s="36">
        <v>510.02409999999998</v>
      </c>
      <c r="C2160" s="36">
        <v>510.02409999999998</v>
      </c>
      <c r="D2160" s="36">
        <v>510.02409999999998</v>
      </c>
      <c r="E2160" s="36">
        <v>510.02409999999998</v>
      </c>
    </row>
    <row r="2161" spans="1:5" x14ac:dyDescent="0.3">
      <c r="A2161" s="1">
        <v>45644</v>
      </c>
      <c r="B2161" s="37">
        <v>510.4144</v>
      </c>
      <c r="C2161" s="37">
        <v>510.4144</v>
      </c>
      <c r="D2161" s="37">
        <v>510.4144</v>
      </c>
      <c r="E2161" s="37">
        <v>510.4144</v>
      </c>
    </row>
    <row r="2162" spans="1:5" x14ac:dyDescent="0.3">
      <c r="A2162" s="2">
        <v>45645</v>
      </c>
      <c r="B2162" s="36">
        <v>510.80509999999998</v>
      </c>
      <c r="C2162" s="36">
        <v>510.80509999999998</v>
      </c>
      <c r="D2162" s="36">
        <v>510.80509999999998</v>
      </c>
      <c r="E2162" s="36">
        <v>510.80509999999998</v>
      </c>
    </row>
    <row r="2163" spans="1:5" x14ac:dyDescent="0.3">
      <c r="A2163" s="1">
        <v>45646</v>
      </c>
      <c r="B2163" s="37">
        <v>511.19600000000003</v>
      </c>
      <c r="C2163" s="37">
        <v>511.19600000000003</v>
      </c>
      <c r="D2163" s="37">
        <v>511.19600000000003</v>
      </c>
      <c r="E2163" s="37">
        <v>511.19600000000003</v>
      </c>
    </row>
    <row r="2164" spans="1:5" x14ac:dyDescent="0.3">
      <c r="A2164" s="2">
        <v>45647</v>
      </c>
      <c r="B2164" s="36">
        <v>511.5872</v>
      </c>
      <c r="C2164" s="36">
        <v>511.5872</v>
      </c>
      <c r="D2164" s="36">
        <v>511.5872</v>
      </c>
      <c r="E2164" s="36">
        <v>511.5872</v>
      </c>
    </row>
    <row r="2165" spans="1:5" x14ac:dyDescent="0.3">
      <c r="A2165" s="1">
        <v>45648</v>
      </c>
      <c r="B2165" s="37">
        <v>511.97879999999998</v>
      </c>
      <c r="C2165" s="37">
        <v>511.97879999999998</v>
      </c>
      <c r="D2165" s="37">
        <v>511.97879999999998</v>
      </c>
      <c r="E2165" s="37">
        <v>511.97879999999998</v>
      </c>
    </row>
    <row r="2166" spans="1:5" x14ac:dyDescent="0.3">
      <c r="A2166" s="2">
        <v>45649</v>
      </c>
      <c r="B2166" s="36">
        <v>512.37059999999997</v>
      </c>
      <c r="C2166" s="36">
        <v>512.37059999999997</v>
      </c>
      <c r="D2166" s="36">
        <v>512.37059999999997</v>
      </c>
      <c r="E2166" s="36">
        <v>512.37059999999997</v>
      </c>
    </row>
    <row r="2167" spans="1:5" x14ac:dyDescent="0.3">
      <c r="A2167" s="1">
        <v>45650</v>
      </c>
      <c r="B2167" s="37">
        <v>512.76279999999997</v>
      </c>
      <c r="C2167" s="37">
        <v>512.76279999999997</v>
      </c>
      <c r="D2167" s="37">
        <v>512.76279999999997</v>
      </c>
      <c r="E2167" s="37">
        <v>512.76279999999997</v>
      </c>
    </row>
    <row r="2168" spans="1:5" x14ac:dyDescent="0.3">
      <c r="A2168" s="2">
        <v>45651</v>
      </c>
      <c r="B2168" s="36">
        <v>513.15520000000004</v>
      </c>
      <c r="C2168" s="36">
        <v>513.15520000000004</v>
      </c>
      <c r="D2168" s="36">
        <v>513.15520000000004</v>
      </c>
      <c r="E2168" s="36">
        <v>513.15520000000004</v>
      </c>
    </row>
    <row r="2169" spans="1:5" x14ac:dyDescent="0.3">
      <c r="A2169" s="1">
        <v>45652</v>
      </c>
      <c r="B2169" s="37">
        <v>513.54790000000003</v>
      </c>
      <c r="C2169" s="37">
        <v>513.54790000000003</v>
      </c>
      <c r="D2169" s="37">
        <v>513.54790000000003</v>
      </c>
      <c r="E2169" s="37">
        <v>513.54790000000003</v>
      </c>
    </row>
    <row r="2170" spans="1:5" x14ac:dyDescent="0.3">
      <c r="A2170" s="2">
        <v>45653</v>
      </c>
      <c r="B2170" s="36">
        <v>513.94100000000003</v>
      </c>
      <c r="C2170" s="36">
        <v>513.94100000000003</v>
      </c>
      <c r="D2170" s="36">
        <v>513.94100000000003</v>
      </c>
      <c r="E2170" s="36">
        <v>513.94100000000003</v>
      </c>
    </row>
    <row r="2171" spans="1:5" x14ac:dyDescent="0.3">
      <c r="A2171" s="1">
        <v>45654</v>
      </c>
      <c r="B2171" s="37">
        <v>514.33429999999998</v>
      </c>
      <c r="C2171" s="37">
        <v>514.33429999999998</v>
      </c>
      <c r="D2171" s="37">
        <v>514.33429999999998</v>
      </c>
      <c r="E2171" s="37">
        <v>514.33429999999998</v>
      </c>
    </row>
    <row r="2172" spans="1:5" x14ac:dyDescent="0.3">
      <c r="A2172" s="2">
        <v>45655</v>
      </c>
      <c r="B2172" s="36">
        <v>514.72799999999995</v>
      </c>
      <c r="C2172" s="36">
        <v>514.72799999999995</v>
      </c>
      <c r="D2172" s="36">
        <v>514.72799999999995</v>
      </c>
      <c r="E2172" s="36">
        <v>514.72799999999995</v>
      </c>
    </row>
    <row r="2173" spans="1:5" x14ac:dyDescent="0.3">
      <c r="A2173" s="1">
        <v>45656</v>
      </c>
      <c r="B2173" s="37">
        <v>515.12189999999998</v>
      </c>
      <c r="C2173" s="37">
        <v>515.12189999999998</v>
      </c>
      <c r="D2173" s="37">
        <v>515.12189999999998</v>
      </c>
      <c r="E2173" s="37">
        <v>515.12189999999998</v>
      </c>
    </row>
    <row r="2174" spans="1:5" x14ac:dyDescent="0.3">
      <c r="A2174" s="2">
        <v>45657</v>
      </c>
      <c r="B2174" s="36">
        <v>515.51610000000005</v>
      </c>
      <c r="C2174" s="36">
        <v>515.51610000000005</v>
      </c>
      <c r="D2174" s="36">
        <v>515.51610000000005</v>
      </c>
      <c r="E2174" s="36">
        <v>515.51610000000005</v>
      </c>
    </row>
    <row r="2175" spans="1:5" x14ac:dyDescent="0.3">
      <c r="A2175" s="1">
        <v>45658</v>
      </c>
      <c r="B2175" s="37">
        <v>515.91070000000002</v>
      </c>
      <c r="C2175" s="37">
        <v>515.91070000000002</v>
      </c>
      <c r="D2175" s="37">
        <v>515.91070000000002</v>
      </c>
      <c r="E2175" s="37">
        <v>515.91070000000002</v>
      </c>
    </row>
    <row r="2176" spans="1:5" x14ac:dyDescent="0.3">
      <c r="A2176" s="2">
        <v>45659</v>
      </c>
      <c r="B2176" s="36">
        <v>516.30550000000005</v>
      </c>
      <c r="C2176" s="36">
        <v>516.30550000000005</v>
      </c>
      <c r="D2176" s="36">
        <v>516.30550000000005</v>
      </c>
      <c r="E2176" s="36">
        <v>516.30550000000005</v>
      </c>
    </row>
    <row r="2177" spans="1:5" x14ac:dyDescent="0.3">
      <c r="A2177" s="1">
        <v>45660</v>
      </c>
      <c r="B2177" s="37">
        <v>516.70069999999998</v>
      </c>
      <c r="C2177" s="37">
        <v>516.70069999999998</v>
      </c>
      <c r="D2177" s="37">
        <v>516.70069999999998</v>
      </c>
      <c r="E2177" s="37">
        <v>516.70069999999998</v>
      </c>
    </row>
    <row r="2178" spans="1:5" x14ac:dyDescent="0.3">
      <c r="A2178" s="2">
        <v>45661</v>
      </c>
      <c r="B2178" s="36">
        <v>517.09609999999998</v>
      </c>
      <c r="C2178" s="36">
        <v>517.09609999999998</v>
      </c>
      <c r="D2178" s="36">
        <v>517.09609999999998</v>
      </c>
      <c r="E2178" s="36">
        <v>517.09609999999998</v>
      </c>
    </row>
    <row r="2179" spans="1:5" x14ac:dyDescent="0.3">
      <c r="A2179" s="1">
        <v>45662</v>
      </c>
      <c r="B2179" s="37">
        <v>517.49189999999999</v>
      </c>
      <c r="C2179" s="37">
        <v>517.49189999999999</v>
      </c>
      <c r="D2179" s="37">
        <v>517.49189999999999</v>
      </c>
      <c r="E2179" s="37">
        <v>517.49189999999999</v>
      </c>
    </row>
    <row r="2180" spans="1:5" x14ac:dyDescent="0.3">
      <c r="A2180" s="2">
        <v>45663</v>
      </c>
      <c r="B2180" s="36">
        <v>517.88800000000003</v>
      </c>
      <c r="C2180" s="36">
        <v>517.88800000000003</v>
      </c>
      <c r="D2180" s="36">
        <v>517.88800000000003</v>
      </c>
      <c r="E2180" s="36">
        <v>517.88800000000003</v>
      </c>
    </row>
    <row r="2181" spans="1:5" x14ac:dyDescent="0.3">
      <c r="A2181" s="1">
        <v>45664</v>
      </c>
      <c r="B2181" s="37">
        <v>518.28430000000003</v>
      </c>
      <c r="C2181" s="37">
        <v>518.28430000000003</v>
      </c>
      <c r="D2181" s="37">
        <v>518.28430000000003</v>
      </c>
      <c r="E2181" s="37">
        <v>518.28430000000003</v>
      </c>
    </row>
    <row r="2182" spans="1:5" x14ac:dyDescent="0.3">
      <c r="A2182" s="2">
        <v>45665</v>
      </c>
      <c r="B2182" s="36">
        <v>518.68100000000004</v>
      </c>
      <c r="C2182" s="36">
        <v>518.68100000000004</v>
      </c>
      <c r="D2182" s="36">
        <v>518.68100000000004</v>
      </c>
      <c r="E2182" s="36">
        <v>518.68100000000004</v>
      </c>
    </row>
    <row r="2183" spans="1:5" x14ac:dyDescent="0.3">
      <c r="A2183" s="1">
        <v>45666</v>
      </c>
      <c r="B2183" s="37">
        <v>519.07799999999997</v>
      </c>
      <c r="C2183" s="37">
        <v>519.07799999999997</v>
      </c>
      <c r="D2183" s="37">
        <v>519.07799999999997</v>
      </c>
      <c r="E2183" s="37">
        <v>519.07799999999997</v>
      </c>
    </row>
    <row r="2184" spans="1:5" x14ac:dyDescent="0.3">
      <c r="A2184" s="2">
        <v>45667</v>
      </c>
      <c r="B2184" s="36">
        <v>519.47519999999997</v>
      </c>
      <c r="C2184" s="36">
        <v>519.47519999999997</v>
      </c>
      <c r="D2184" s="36">
        <v>519.47519999999997</v>
      </c>
      <c r="E2184" s="36">
        <v>519.47519999999997</v>
      </c>
    </row>
    <row r="2185" spans="1:5" x14ac:dyDescent="0.3">
      <c r="A2185" s="1">
        <v>45668</v>
      </c>
      <c r="B2185" s="37">
        <v>519.87279999999998</v>
      </c>
      <c r="C2185" s="37">
        <v>519.87279999999998</v>
      </c>
      <c r="D2185" s="37">
        <v>519.87279999999998</v>
      </c>
      <c r="E2185" s="37">
        <v>519.87279999999998</v>
      </c>
    </row>
    <row r="2186" spans="1:5" x14ac:dyDescent="0.3">
      <c r="A2186" s="2">
        <v>45669</v>
      </c>
      <c r="B2186" s="36">
        <v>520.27070000000003</v>
      </c>
      <c r="C2186" s="36">
        <v>520.27070000000003</v>
      </c>
      <c r="D2186" s="36">
        <v>520.27070000000003</v>
      </c>
      <c r="E2186" s="36">
        <v>520.27070000000003</v>
      </c>
    </row>
    <row r="2187" spans="1:5" x14ac:dyDescent="0.3">
      <c r="A2187" s="1">
        <v>45670</v>
      </c>
      <c r="B2187" s="37">
        <v>520.66890000000001</v>
      </c>
      <c r="C2187" s="37">
        <v>520.66890000000001</v>
      </c>
      <c r="D2187" s="37">
        <v>520.66890000000001</v>
      </c>
      <c r="E2187" s="37">
        <v>520.66890000000001</v>
      </c>
    </row>
    <row r="2188" spans="1:5" x14ac:dyDescent="0.3">
      <c r="A2188" s="2">
        <v>45671</v>
      </c>
      <c r="B2188" s="36">
        <v>521.06740000000002</v>
      </c>
      <c r="C2188" s="36">
        <v>521.06740000000002</v>
      </c>
      <c r="D2188" s="36">
        <v>521.06740000000002</v>
      </c>
      <c r="E2188" s="36">
        <v>521.06740000000002</v>
      </c>
    </row>
    <row r="2189" spans="1:5" x14ac:dyDescent="0.3">
      <c r="A2189" s="1">
        <v>45672</v>
      </c>
      <c r="B2189" s="37">
        <v>521.46609999999998</v>
      </c>
      <c r="C2189" s="37">
        <v>521.46609999999998</v>
      </c>
      <c r="D2189" s="37">
        <v>521.46609999999998</v>
      </c>
      <c r="E2189" s="37">
        <v>521.46609999999998</v>
      </c>
    </row>
    <row r="2190" spans="1:5" x14ac:dyDescent="0.3">
      <c r="A2190" s="2">
        <v>45673</v>
      </c>
      <c r="B2190" s="36">
        <v>521.91449999999998</v>
      </c>
      <c r="C2190" s="36">
        <v>521.91449999999998</v>
      </c>
      <c r="D2190" s="36">
        <v>521.91449999999998</v>
      </c>
      <c r="E2190" s="36">
        <v>521.91449999999998</v>
      </c>
    </row>
    <row r="2191" spans="1:5" x14ac:dyDescent="0.3">
      <c r="A2191" s="1">
        <v>45674</v>
      </c>
      <c r="B2191" s="37">
        <v>522.36320000000001</v>
      </c>
      <c r="C2191" s="37">
        <v>522.36320000000001</v>
      </c>
      <c r="D2191" s="37">
        <v>522.36320000000001</v>
      </c>
      <c r="E2191" s="37">
        <v>522.36320000000001</v>
      </c>
    </row>
    <row r="2192" spans="1:5" x14ac:dyDescent="0.3">
      <c r="A2192" s="2">
        <v>45675</v>
      </c>
      <c r="B2192" s="36">
        <v>522.81240000000003</v>
      </c>
      <c r="C2192" s="36">
        <v>522.81240000000003</v>
      </c>
      <c r="D2192" s="36">
        <v>522.81240000000003</v>
      </c>
      <c r="E2192" s="36">
        <v>522.81240000000003</v>
      </c>
    </row>
    <row r="2193" spans="1:5" x14ac:dyDescent="0.3">
      <c r="A2193" s="1">
        <v>45676</v>
      </c>
      <c r="B2193" s="37">
        <v>523.26189999999997</v>
      </c>
      <c r="C2193" s="37">
        <v>523.26189999999997</v>
      </c>
      <c r="D2193" s="37">
        <v>523.26189999999997</v>
      </c>
      <c r="E2193" s="37">
        <v>523.26189999999997</v>
      </c>
    </row>
    <row r="2194" spans="1:5" x14ac:dyDescent="0.3">
      <c r="A2194" s="2">
        <v>45677</v>
      </c>
      <c r="B2194" s="36">
        <v>523.71180000000004</v>
      </c>
      <c r="C2194" s="36">
        <v>523.71180000000004</v>
      </c>
      <c r="D2194" s="36">
        <v>523.71180000000004</v>
      </c>
      <c r="E2194" s="36">
        <v>523.71180000000004</v>
      </c>
    </row>
    <row r="2195" spans="1:5" x14ac:dyDescent="0.3">
      <c r="A2195" s="1">
        <v>45678</v>
      </c>
      <c r="B2195" s="37">
        <v>524.16200000000003</v>
      </c>
      <c r="C2195" s="37">
        <v>524.16200000000003</v>
      </c>
      <c r="D2195" s="37">
        <v>524.16200000000003</v>
      </c>
      <c r="E2195" s="37">
        <v>524.16200000000003</v>
      </c>
    </row>
    <row r="2196" spans="1:5" x14ac:dyDescent="0.3">
      <c r="A2196" s="2">
        <v>45679</v>
      </c>
      <c r="B2196" s="36">
        <v>524.61270000000002</v>
      </c>
      <c r="C2196" s="36">
        <v>524.61270000000002</v>
      </c>
      <c r="D2196" s="36">
        <v>524.61270000000002</v>
      </c>
      <c r="E2196" s="36">
        <v>524.61270000000002</v>
      </c>
    </row>
    <row r="2197" spans="1:5" x14ac:dyDescent="0.3">
      <c r="A2197" s="1">
        <v>45680</v>
      </c>
      <c r="B2197" s="37">
        <v>525.06380000000001</v>
      </c>
      <c r="C2197" s="37">
        <v>525.06380000000001</v>
      </c>
      <c r="D2197" s="37">
        <v>525.06380000000001</v>
      </c>
      <c r="E2197" s="37">
        <v>525.06380000000001</v>
      </c>
    </row>
    <row r="2198" spans="1:5" x14ac:dyDescent="0.3">
      <c r="A2198" s="2">
        <v>45681</v>
      </c>
      <c r="B2198" s="36">
        <v>525.51520000000005</v>
      </c>
      <c r="C2198" s="36">
        <v>525.51520000000005</v>
      </c>
      <c r="D2198" s="36">
        <v>525.51520000000005</v>
      </c>
      <c r="E2198" s="36">
        <v>525.51520000000005</v>
      </c>
    </row>
    <row r="2199" spans="1:5" x14ac:dyDescent="0.3">
      <c r="A2199" s="1">
        <v>45682</v>
      </c>
      <c r="B2199" s="37">
        <v>525.96699999999998</v>
      </c>
      <c r="C2199" s="37">
        <v>525.96699999999998</v>
      </c>
      <c r="D2199" s="37">
        <v>525.96699999999998</v>
      </c>
      <c r="E2199" s="37">
        <v>525.96699999999998</v>
      </c>
    </row>
    <row r="2200" spans="1:5" x14ac:dyDescent="0.3">
      <c r="A2200" s="2">
        <v>45683</v>
      </c>
      <c r="B2200" s="36">
        <v>526.41930000000002</v>
      </c>
      <c r="C2200" s="36">
        <v>526.41930000000002</v>
      </c>
      <c r="D2200" s="36">
        <v>526.41930000000002</v>
      </c>
      <c r="E2200" s="36">
        <v>526.41930000000002</v>
      </c>
    </row>
    <row r="2201" spans="1:5" x14ac:dyDescent="0.3">
      <c r="A2201" s="1">
        <v>45684</v>
      </c>
      <c r="B2201" s="37">
        <v>526.87189999999998</v>
      </c>
      <c r="C2201" s="37">
        <v>526.87189999999998</v>
      </c>
      <c r="D2201" s="37">
        <v>526.87189999999998</v>
      </c>
      <c r="E2201" s="37">
        <v>526.87189999999998</v>
      </c>
    </row>
    <row r="2202" spans="1:5" x14ac:dyDescent="0.3">
      <c r="A2202" s="2">
        <v>45685</v>
      </c>
      <c r="B2202" s="36">
        <v>527.32489999999996</v>
      </c>
      <c r="C2202" s="36">
        <v>527.32489999999996</v>
      </c>
      <c r="D2202" s="36">
        <v>527.32489999999996</v>
      </c>
      <c r="E2202" s="36">
        <v>527.32489999999996</v>
      </c>
    </row>
    <row r="2203" spans="1:5" x14ac:dyDescent="0.3">
      <c r="A2203" s="1">
        <v>45686</v>
      </c>
      <c r="B2203" s="37">
        <v>527.77819999999997</v>
      </c>
      <c r="C2203" s="37">
        <v>527.77819999999997</v>
      </c>
      <c r="D2203" s="37">
        <v>527.77819999999997</v>
      </c>
      <c r="E2203" s="37">
        <v>527.77819999999997</v>
      </c>
    </row>
    <row r="2204" spans="1:5" x14ac:dyDescent="0.3">
      <c r="A2204" s="2">
        <v>45687</v>
      </c>
      <c r="B2204" s="36">
        <v>528.23199999999997</v>
      </c>
      <c r="C2204" s="36">
        <v>528.23199999999997</v>
      </c>
      <c r="D2204" s="36">
        <v>528.23199999999997</v>
      </c>
      <c r="E2204" s="36">
        <v>528.23199999999997</v>
      </c>
    </row>
    <row r="2205" spans="1:5" x14ac:dyDescent="0.3">
      <c r="A2205" s="1">
        <v>45688</v>
      </c>
      <c r="B2205" s="37">
        <v>528.68619999999999</v>
      </c>
      <c r="C2205" s="37">
        <v>528.68619999999999</v>
      </c>
      <c r="D2205" s="37">
        <v>528.68619999999999</v>
      </c>
      <c r="E2205" s="37">
        <v>528.68619999999999</v>
      </c>
    </row>
    <row r="2206" spans="1:5" x14ac:dyDescent="0.3">
      <c r="A2206" s="2">
        <v>45689</v>
      </c>
      <c r="B2206" s="36">
        <v>529.14070000000004</v>
      </c>
      <c r="C2206" s="36">
        <v>529.14070000000004</v>
      </c>
      <c r="D2206" s="36">
        <v>529.14070000000004</v>
      </c>
      <c r="E2206" s="36">
        <v>529.14070000000004</v>
      </c>
    </row>
    <row r="2207" spans="1:5" x14ac:dyDescent="0.3">
      <c r="A2207" s="1">
        <v>45690</v>
      </c>
      <c r="B2207" s="37">
        <v>529.59569999999997</v>
      </c>
      <c r="C2207" s="37">
        <v>529.59569999999997</v>
      </c>
      <c r="D2207" s="37">
        <v>529.59569999999997</v>
      </c>
      <c r="E2207" s="37">
        <v>529.59569999999997</v>
      </c>
    </row>
    <row r="2208" spans="1:5" x14ac:dyDescent="0.3">
      <c r="A2208" s="2">
        <v>45691</v>
      </c>
      <c r="B2208" s="36">
        <v>530.05100000000004</v>
      </c>
      <c r="C2208" s="36">
        <v>530.05100000000004</v>
      </c>
      <c r="D2208" s="36">
        <v>530.05100000000004</v>
      </c>
      <c r="E2208" s="36">
        <v>530.05100000000004</v>
      </c>
    </row>
    <row r="2209" spans="1:5" x14ac:dyDescent="0.3">
      <c r="A2209" s="1">
        <v>45692</v>
      </c>
      <c r="B2209" s="37">
        <v>530.5068</v>
      </c>
      <c r="C2209" s="37">
        <v>530.5068</v>
      </c>
      <c r="D2209" s="37">
        <v>530.5068</v>
      </c>
      <c r="E2209" s="37">
        <v>530.5068</v>
      </c>
    </row>
    <row r="2210" spans="1:5" x14ac:dyDescent="0.3">
      <c r="A2210" s="2">
        <v>45693</v>
      </c>
      <c r="B2210" s="36">
        <v>530.96289999999999</v>
      </c>
      <c r="C2210" s="36">
        <v>530.96289999999999</v>
      </c>
      <c r="D2210" s="36">
        <v>530.96289999999999</v>
      </c>
      <c r="E2210" s="36">
        <v>530.96289999999999</v>
      </c>
    </row>
    <row r="2211" spans="1:5" x14ac:dyDescent="0.3">
      <c r="A2211" s="1">
        <v>45694</v>
      </c>
      <c r="B2211" s="37">
        <v>531.4194</v>
      </c>
      <c r="C2211" s="37">
        <v>531.4194</v>
      </c>
      <c r="D2211" s="37">
        <v>531.4194</v>
      </c>
      <c r="E2211" s="37">
        <v>531.4194</v>
      </c>
    </row>
    <row r="2212" spans="1:5" x14ac:dyDescent="0.3">
      <c r="A2212" s="2">
        <v>45695</v>
      </c>
      <c r="B2212" s="36">
        <v>531.87630000000001</v>
      </c>
      <c r="C2212" s="36">
        <v>531.87630000000001</v>
      </c>
      <c r="D2212" s="36">
        <v>531.87630000000001</v>
      </c>
      <c r="E2212" s="36">
        <v>531.87630000000001</v>
      </c>
    </row>
    <row r="2213" spans="1:5" x14ac:dyDescent="0.3">
      <c r="A2213" s="1">
        <v>45696</v>
      </c>
      <c r="B2213" s="37">
        <v>532.33360000000005</v>
      </c>
      <c r="C2213" s="37">
        <v>532.33360000000005</v>
      </c>
      <c r="D2213" s="37">
        <v>532.33360000000005</v>
      </c>
      <c r="E2213" s="37">
        <v>532.33360000000005</v>
      </c>
    </row>
    <row r="2214" spans="1:5" x14ac:dyDescent="0.3">
      <c r="A2214" s="2">
        <v>45697</v>
      </c>
      <c r="B2214" s="36">
        <v>532.79129999999998</v>
      </c>
      <c r="C2214" s="36">
        <v>532.79129999999998</v>
      </c>
      <c r="D2214" s="36">
        <v>532.79129999999998</v>
      </c>
      <c r="E2214" s="36">
        <v>532.79129999999998</v>
      </c>
    </row>
    <row r="2215" spans="1:5" x14ac:dyDescent="0.3">
      <c r="A2215" s="1">
        <v>45698</v>
      </c>
      <c r="B2215" s="37">
        <v>533.24940000000004</v>
      </c>
      <c r="C2215" s="37">
        <v>533.24940000000004</v>
      </c>
      <c r="D2215" s="37">
        <v>533.24940000000004</v>
      </c>
      <c r="E2215" s="37">
        <v>533.24940000000004</v>
      </c>
    </row>
    <row r="2216" spans="1:5" x14ac:dyDescent="0.3">
      <c r="A2216" s="2">
        <v>45699</v>
      </c>
      <c r="B2216" s="36">
        <v>533.7079</v>
      </c>
      <c r="C2216" s="36">
        <v>533.7079</v>
      </c>
      <c r="D2216" s="36">
        <v>533.7079</v>
      </c>
      <c r="E2216" s="36">
        <v>533.7079</v>
      </c>
    </row>
    <row r="2217" spans="1:5" x14ac:dyDescent="0.3">
      <c r="A2217" s="1">
        <v>45700</v>
      </c>
      <c r="B2217" s="37">
        <v>534.16669999999999</v>
      </c>
      <c r="C2217" s="37">
        <v>534.16669999999999</v>
      </c>
      <c r="D2217" s="37">
        <v>534.16669999999999</v>
      </c>
      <c r="E2217" s="37">
        <v>534.16669999999999</v>
      </c>
    </row>
    <row r="2218" spans="1:5" x14ac:dyDescent="0.3">
      <c r="A2218" s="2">
        <v>45701</v>
      </c>
      <c r="B2218" s="36">
        <v>534.62599999999998</v>
      </c>
      <c r="C2218" s="36">
        <v>534.62599999999998</v>
      </c>
      <c r="D2218" s="36">
        <v>534.62599999999998</v>
      </c>
      <c r="E2218" s="36">
        <v>534.62599999999998</v>
      </c>
    </row>
    <row r="2219" spans="1:5" x14ac:dyDescent="0.3">
      <c r="A2219" s="1">
        <v>45702</v>
      </c>
      <c r="B2219" s="37">
        <v>535.08569999999997</v>
      </c>
      <c r="C2219" s="37">
        <v>535.08569999999997</v>
      </c>
      <c r="D2219" s="37">
        <v>535.08569999999997</v>
      </c>
      <c r="E2219" s="37">
        <v>535.08569999999997</v>
      </c>
    </row>
    <row r="2220" spans="1:5" x14ac:dyDescent="0.3">
      <c r="A2220" s="2">
        <v>45703</v>
      </c>
      <c r="B2220" s="36">
        <v>535.54570000000001</v>
      </c>
      <c r="C2220" s="36">
        <v>535.54570000000001</v>
      </c>
      <c r="D2220" s="36">
        <v>535.54570000000001</v>
      </c>
      <c r="E2220" s="36">
        <v>535.54570000000001</v>
      </c>
    </row>
    <row r="2221" spans="1:5" x14ac:dyDescent="0.3">
      <c r="A2221" s="1">
        <v>45704</v>
      </c>
      <c r="B2221" s="37">
        <v>535.96209999999996</v>
      </c>
      <c r="C2221" s="37">
        <v>535.96209999999996</v>
      </c>
      <c r="D2221" s="37">
        <v>535.96209999999996</v>
      </c>
      <c r="E2221" s="37">
        <v>535.96209999999996</v>
      </c>
    </row>
    <row r="2222" spans="1:5" x14ac:dyDescent="0.3">
      <c r="A2222" s="2">
        <v>45705</v>
      </c>
      <c r="B2222" s="36">
        <v>536.37879999999996</v>
      </c>
      <c r="C2222" s="36">
        <v>536.37879999999996</v>
      </c>
      <c r="D2222" s="36">
        <v>536.37879999999996</v>
      </c>
      <c r="E2222" s="36">
        <v>536.37879999999996</v>
      </c>
    </row>
    <row r="2223" spans="1:5" x14ac:dyDescent="0.3">
      <c r="A2223" s="1">
        <v>45706</v>
      </c>
      <c r="B2223" s="37">
        <v>536.79589999999996</v>
      </c>
      <c r="C2223" s="37">
        <v>536.79589999999996</v>
      </c>
      <c r="D2223" s="37">
        <v>536.79589999999996</v>
      </c>
      <c r="E2223" s="37">
        <v>536.79589999999996</v>
      </c>
    </row>
    <row r="2224" spans="1:5" x14ac:dyDescent="0.3">
      <c r="A2224" s="2">
        <v>45707</v>
      </c>
      <c r="B2224" s="36">
        <v>537.21320000000003</v>
      </c>
      <c r="C2224" s="36">
        <v>537.21320000000003</v>
      </c>
      <c r="D2224" s="36">
        <v>537.21320000000003</v>
      </c>
      <c r="E2224" s="36">
        <v>537.21320000000003</v>
      </c>
    </row>
    <row r="2225" spans="1:5" x14ac:dyDescent="0.3">
      <c r="A2225" s="1">
        <v>45708</v>
      </c>
      <c r="B2225" s="37">
        <v>537.6309</v>
      </c>
      <c r="C2225" s="37">
        <v>537.6309</v>
      </c>
      <c r="D2225" s="37">
        <v>537.6309</v>
      </c>
      <c r="E2225" s="37">
        <v>537.6309</v>
      </c>
    </row>
    <row r="2226" spans="1:5" x14ac:dyDescent="0.3">
      <c r="A2226" s="2">
        <v>45709</v>
      </c>
      <c r="B2226" s="36">
        <v>538.0489</v>
      </c>
      <c r="C2226" s="36">
        <v>538.0489</v>
      </c>
      <c r="D2226" s="36">
        <v>538.0489</v>
      </c>
      <c r="E2226" s="36">
        <v>538.0489</v>
      </c>
    </row>
    <row r="2227" spans="1:5" x14ac:dyDescent="0.3">
      <c r="A2227" s="1">
        <v>45710</v>
      </c>
      <c r="B2227" s="37">
        <v>538.46720000000005</v>
      </c>
      <c r="C2227" s="37">
        <v>538.46720000000005</v>
      </c>
      <c r="D2227" s="37">
        <v>538.46720000000005</v>
      </c>
      <c r="E2227" s="37">
        <v>538.46720000000005</v>
      </c>
    </row>
    <row r="2228" spans="1:5" x14ac:dyDescent="0.3">
      <c r="A2228" s="2">
        <v>45711</v>
      </c>
      <c r="B2228" s="36">
        <v>538.88589999999999</v>
      </c>
      <c r="C2228" s="36">
        <v>538.88589999999999</v>
      </c>
      <c r="D2228" s="36">
        <v>538.88589999999999</v>
      </c>
      <c r="E2228" s="36">
        <v>538.88589999999999</v>
      </c>
    </row>
    <row r="2229" spans="1:5" x14ac:dyDescent="0.3">
      <c r="A2229" s="1">
        <v>45712</v>
      </c>
      <c r="B2229" s="37">
        <v>539.30489999999998</v>
      </c>
      <c r="C2229" s="37">
        <v>539.30489999999998</v>
      </c>
      <c r="D2229" s="37">
        <v>539.30489999999998</v>
      </c>
      <c r="E2229" s="37">
        <v>539.30489999999998</v>
      </c>
    </row>
    <row r="2230" spans="1:5" x14ac:dyDescent="0.3">
      <c r="A2230" s="2">
        <v>45713</v>
      </c>
      <c r="B2230" s="36">
        <v>539.7242</v>
      </c>
      <c r="C2230" s="36">
        <v>539.7242</v>
      </c>
      <c r="D2230" s="36">
        <v>539.7242</v>
      </c>
      <c r="E2230" s="36">
        <v>539.7242</v>
      </c>
    </row>
    <row r="2231" spans="1:5" x14ac:dyDescent="0.3">
      <c r="A2231" s="1">
        <v>45714</v>
      </c>
      <c r="B2231" s="37">
        <v>540.14380000000006</v>
      </c>
      <c r="C2231" s="37">
        <v>540.14380000000006</v>
      </c>
      <c r="D2231" s="37">
        <v>540.14380000000006</v>
      </c>
      <c r="E2231" s="37">
        <v>540.14380000000006</v>
      </c>
    </row>
    <row r="2232" spans="1:5" x14ac:dyDescent="0.3">
      <c r="A2232" s="2">
        <v>45715</v>
      </c>
      <c r="B2232" s="36">
        <v>540.56380000000001</v>
      </c>
      <c r="C2232" s="36">
        <v>540.56380000000001</v>
      </c>
      <c r="D2232" s="36">
        <v>540.56380000000001</v>
      </c>
      <c r="E2232" s="36">
        <v>540.56380000000001</v>
      </c>
    </row>
    <row r="2233" spans="1:5" x14ac:dyDescent="0.3">
      <c r="A2233" s="1">
        <v>45716</v>
      </c>
      <c r="B2233" s="37">
        <v>540.98410000000001</v>
      </c>
      <c r="C2233" s="37">
        <v>540.98410000000001</v>
      </c>
      <c r="D2233" s="37">
        <v>540.98410000000001</v>
      </c>
      <c r="E2233" s="37">
        <v>540.98410000000001</v>
      </c>
    </row>
    <row r="2234" spans="1:5" x14ac:dyDescent="0.3">
      <c r="A2234" s="2">
        <v>45717</v>
      </c>
      <c r="B2234" s="36">
        <v>541.40470000000005</v>
      </c>
      <c r="C2234" s="36">
        <v>541.40470000000005</v>
      </c>
      <c r="D2234" s="36">
        <v>541.40470000000005</v>
      </c>
      <c r="E2234" s="36">
        <v>541.40470000000005</v>
      </c>
    </row>
    <row r="2235" spans="1:5" x14ac:dyDescent="0.3">
      <c r="A2235" s="1">
        <v>45718</v>
      </c>
      <c r="B2235" s="37">
        <v>541.82560000000001</v>
      </c>
      <c r="C2235" s="37">
        <v>541.82560000000001</v>
      </c>
      <c r="D2235" s="37">
        <v>541.82560000000001</v>
      </c>
      <c r="E2235" s="37">
        <v>541.82560000000001</v>
      </c>
    </row>
    <row r="2236" spans="1:5" x14ac:dyDescent="0.3">
      <c r="A2236" s="2">
        <v>45719</v>
      </c>
      <c r="B2236" s="36">
        <v>542.24689999999998</v>
      </c>
      <c r="C2236" s="36">
        <v>542.24689999999998</v>
      </c>
      <c r="D2236" s="36">
        <v>542.24689999999998</v>
      </c>
      <c r="E2236" s="36">
        <v>542.24689999999998</v>
      </c>
    </row>
    <row r="2237" spans="1:5" x14ac:dyDescent="0.3">
      <c r="A2237" s="1">
        <v>45720</v>
      </c>
      <c r="B2237" s="37">
        <v>542.66849999999999</v>
      </c>
      <c r="C2237" s="37">
        <v>542.66849999999999</v>
      </c>
      <c r="D2237" s="37">
        <v>542.66849999999999</v>
      </c>
      <c r="E2237" s="37">
        <v>542.66849999999999</v>
      </c>
    </row>
    <row r="2238" spans="1:5" x14ac:dyDescent="0.3">
      <c r="A2238" s="2">
        <v>45721</v>
      </c>
      <c r="B2238" s="36">
        <v>543.09040000000005</v>
      </c>
      <c r="C2238" s="36">
        <v>543.09040000000005</v>
      </c>
      <c r="D2238" s="36">
        <v>543.09040000000005</v>
      </c>
      <c r="E2238" s="36">
        <v>543.09040000000005</v>
      </c>
    </row>
    <row r="2239" spans="1:5" x14ac:dyDescent="0.3">
      <c r="A2239" s="1">
        <v>45722</v>
      </c>
      <c r="B2239" s="37">
        <v>543.5127</v>
      </c>
      <c r="C2239" s="37">
        <v>543.5127</v>
      </c>
      <c r="D2239" s="37">
        <v>543.5127</v>
      </c>
      <c r="E2239" s="37">
        <v>543.5127</v>
      </c>
    </row>
    <row r="2240" spans="1:5" x14ac:dyDescent="0.3">
      <c r="A2240" s="2">
        <v>45723</v>
      </c>
      <c r="B2240" s="36">
        <v>543.93529999999998</v>
      </c>
      <c r="C2240" s="36">
        <v>543.93529999999998</v>
      </c>
      <c r="D2240" s="36">
        <v>543.93529999999998</v>
      </c>
      <c r="E2240" s="36">
        <v>543.93529999999998</v>
      </c>
    </row>
    <row r="2241" spans="1:5" x14ac:dyDescent="0.3">
      <c r="A2241" s="1">
        <v>45724</v>
      </c>
      <c r="B2241" s="37">
        <v>544.35820000000001</v>
      </c>
      <c r="C2241" s="37">
        <v>544.35820000000001</v>
      </c>
      <c r="D2241" s="37">
        <v>544.35820000000001</v>
      </c>
      <c r="E2241" s="37">
        <v>544.35820000000001</v>
      </c>
    </row>
    <row r="2242" spans="1:5" x14ac:dyDescent="0.3">
      <c r="A2242" s="2">
        <v>45725</v>
      </c>
      <c r="B2242" s="36">
        <v>544.78139999999996</v>
      </c>
      <c r="C2242" s="36">
        <v>544.78139999999996</v>
      </c>
      <c r="D2242" s="36">
        <v>544.78139999999996</v>
      </c>
      <c r="E2242" s="36">
        <v>544.78139999999996</v>
      </c>
    </row>
    <row r="2243" spans="1:5" x14ac:dyDescent="0.3">
      <c r="A2243" s="1">
        <v>45726</v>
      </c>
      <c r="B2243" s="37">
        <v>545.20500000000004</v>
      </c>
      <c r="C2243" s="37">
        <v>545.20500000000004</v>
      </c>
      <c r="D2243" s="37">
        <v>545.20500000000004</v>
      </c>
      <c r="E2243" s="37">
        <v>545.20500000000004</v>
      </c>
    </row>
    <row r="2244" spans="1:5" x14ac:dyDescent="0.3">
      <c r="A2244" s="2">
        <v>45727</v>
      </c>
      <c r="B2244" s="36">
        <v>545.62890000000004</v>
      </c>
      <c r="C2244" s="36">
        <v>545.62890000000004</v>
      </c>
      <c r="D2244" s="36">
        <v>545.62890000000004</v>
      </c>
      <c r="E2244" s="36">
        <v>545.62890000000004</v>
      </c>
    </row>
    <row r="2245" spans="1:5" x14ac:dyDescent="0.3">
      <c r="A2245" s="1">
        <v>45728</v>
      </c>
      <c r="B2245" s="37">
        <v>546.05309999999997</v>
      </c>
      <c r="C2245" s="37">
        <v>546.05309999999997</v>
      </c>
      <c r="D2245" s="37">
        <v>546.05309999999997</v>
      </c>
      <c r="E2245" s="37">
        <v>546.05309999999997</v>
      </c>
    </row>
    <row r="2246" spans="1:5" x14ac:dyDescent="0.3">
      <c r="A2246" s="2">
        <v>45729</v>
      </c>
      <c r="B2246" s="36">
        <v>546.47760000000005</v>
      </c>
      <c r="C2246" s="36">
        <v>546.47760000000005</v>
      </c>
      <c r="D2246" s="36">
        <v>546.47760000000005</v>
      </c>
      <c r="E2246" s="36">
        <v>546.47760000000005</v>
      </c>
    </row>
    <row r="2247" spans="1:5" x14ac:dyDescent="0.3">
      <c r="A2247" s="1">
        <v>45730</v>
      </c>
      <c r="B2247" s="37">
        <v>546.90250000000003</v>
      </c>
      <c r="C2247" s="37">
        <v>546.90250000000003</v>
      </c>
      <c r="D2247" s="37">
        <v>546.90250000000003</v>
      </c>
      <c r="E2247" s="37">
        <v>546.90250000000003</v>
      </c>
    </row>
    <row r="2248" spans="1:5" x14ac:dyDescent="0.3">
      <c r="A2248" s="2">
        <v>45731</v>
      </c>
      <c r="B2248" s="36">
        <v>547.32770000000005</v>
      </c>
      <c r="C2248" s="36">
        <v>547.32770000000005</v>
      </c>
      <c r="D2248" s="36">
        <v>547.32770000000005</v>
      </c>
      <c r="E2248" s="36">
        <v>547.32770000000005</v>
      </c>
    </row>
    <row r="2249" spans="1:5" x14ac:dyDescent="0.3">
      <c r="A2249" s="1">
        <v>45732</v>
      </c>
      <c r="B2249" s="37">
        <v>547.74659999999994</v>
      </c>
      <c r="C2249" s="37">
        <v>547.74659999999994</v>
      </c>
      <c r="D2249" s="37">
        <v>547.74659999999994</v>
      </c>
      <c r="E2249" s="37">
        <v>547.74659999999994</v>
      </c>
    </row>
    <row r="2250" spans="1:5" x14ac:dyDescent="0.3">
      <c r="A2250" s="2">
        <v>45733</v>
      </c>
      <c r="B2250" s="36">
        <v>548.16579999999999</v>
      </c>
      <c r="C2250" s="36">
        <v>548.16579999999999</v>
      </c>
      <c r="D2250" s="36">
        <v>548.16579999999999</v>
      </c>
      <c r="E2250" s="36">
        <v>548.16579999999999</v>
      </c>
    </row>
    <row r="2251" spans="1:5" x14ac:dyDescent="0.3">
      <c r="A2251" s="1">
        <v>45734</v>
      </c>
      <c r="B2251" s="37">
        <v>548.58540000000005</v>
      </c>
      <c r="C2251" s="37">
        <v>548.58540000000005</v>
      </c>
      <c r="D2251" s="37">
        <v>548.58540000000005</v>
      </c>
      <c r="E2251" s="37">
        <v>548.58540000000005</v>
      </c>
    </row>
    <row r="2252" spans="1:5" x14ac:dyDescent="0.3">
      <c r="A2252" s="2">
        <v>45735</v>
      </c>
      <c r="B2252" s="36">
        <v>549.00519999999995</v>
      </c>
      <c r="C2252" s="36">
        <v>549.00519999999995</v>
      </c>
      <c r="D2252" s="36">
        <v>549.00519999999995</v>
      </c>
      <c r="E2252" s="36">
        <v>549.00519999999995</v>
      </c>
    </row>
    <row r="2253" spans="1:5" x14ac:dyDescent="0.3">
      <c r="A2253" s="1">
        <v>45736</v>
      </c>
      <c r="B2253" s="37">
        <v>549.42539999999997</v>
      </c>
      <c r="C2253" s="37">
        <v>549.42539999999997</v>
      </c>
      <c r="D2253" s="37">
        <v>549.42539999999997</v>
      </c>
      <c r="E2253" s="37">
        <v>549.42539999999997</v>
      </c>
    </row>
    <row r="2254" spans="1:5" x14ac:dyDescent="0.3">
      <c r="A2254" s="2">
        <v>45737</v>
      </c>
      <c r="B2254" s="36">
        <v>549.84590000000003</v>
      </c>
      <c r="C2254" s="36">
        <v>549.84590000000003</v>
      </c>
      <c r="D2254" s="36">
        <v>549.84590000000003</v>
      </c>
      <c r="E2254" s="36">
        <v>549.84590000000003</v>
      </c>
    </row>
    <row r="2255" spans="1:5" x14ac:dyDescent="0.3">
      <c r="A2255" s="1">
        <v>45738</v>
      </c>
      <c r="B2255" s="37">
        <v>550.26670000000001</v>
      </c>
      <c r="C2255" s="37">
        <v>550.26670000000001</v>
      </c>
      <c r="D2255" s="37">
        <v>550.26670000000001</v>
      </c>
      <c r="E2255" s="37">
        <v>550.26670000000001</v>
      </c>
    </row>
    <row r="2256" spans="1:5" x14ac:dyDescent="0.3">
      <c r="A2256" s="2">
        <v>45739</v>
      </c>
      <c r="B2256" s="36">
        <v>550.68790000000001</v>
      </c>
      <c r="C2256" s="36">
        <v>550.68790000000001</v>
      </c>
      <c r="D2256" s="36">
        <v>550.68790000000001</v>
      </c>
      <c r="E2256" s="36">
        <v>550.68790000000001</v>
      </c>
    </row>
    <row r="2257" spans="1:5" x14ac:dyDescent="0.3">
      <c r="A2257" s="1">
        <v>45740</v>
      </c>
      <c r="B2257" s="37">
        <v>551.10929999999996</v>
      </c>
      <c r="C2257" s="37">
        <v>551.10929999999996</v>
      </c>
      <c r="D2257" s="37">
        <v>551.10929999999996</v>
      </c>
      <c r="E2257" s="37">
        <v>551.10929999999996</v>
      </c>
    </row>
    <row r="2258" spans="1:5" x14ac:dyDescent="0.3">
      <c r="A2258" s="2">
        <v>45741</v>
      </c>
      <c r="B2258" s="36">
        <v>551.53110000000004</v>
      </c>
      <c r="C2258" s="36">
        <v>551.53110000000004</v>
      </c>
      <c r="D2258" s="36">
        <v>551.53110000000004</v>
      </c>
      <c r="E2258" s="36">
        <v>551.53110000000004</v>
      </c>
    </row>
    <row r="2259" spans="1:5" x14ac:dyDescent="0.3">
      <c r="A2259" s="1">
        <v>45742</v>
      </c>
      <c r="B2259" s="37">
        <v>551.95320000000004</v>
      </c>
      <c r="C2259" s="37">
        <v>551.95320000000004</v>
      </c>
      <c r="D2259" s="37">
        <v>551.95320000000004</v>
      </c>
      <c r="E2259" s="37">
        <v>551.95320000000004</v>
      </c>
    </row>
    <row r="2260" spans="1:5" x14ac:dyDescent="0.3">
      <c r="A2260" s="2">
        <v>45743</v>
      </c>
      <c r="B2260" s="36">
        <v>552.37570000000005</v>
      </c>
      <c r="C2260" s="36">
        <v>552.37570000000005</v>
      </c>
      <c r="D2260" s="36">
        <v>552.37570000000005</v>
      </c>
      <c r="E2260" s="36">
        <v>552.37570000000005</v>
      </c>
    </row>
    <row r="2261" spans="1:5" x14ac:dyDescent="0.3">
      <c r="A2261" s="1">
        <v>45744</v>
      </c>
      <c r="B2261" s="37">
        <v>552.79840000000002</v>
      </c>
      <c r="C2261" s="37">
        <v>552.79840000000002</v>
      </c>
      <c r="D2261" s="37">
        <v>552.79840000000002</v>
      </c>
      <c r="E2261" s="37">
        <v>552.79840000000002</v>
      </c>
    </row>
    <row r="2262" spans="1:5" x14ac:dyDescent="0.3">
      <c r="A2262" s="2">
        <v>45745</v>
      </c>
      <c r="B2262" s="36">
        <v>553.22149999999999</v>
      </c>
      <c r="C2262" s="36">
        <v>553.22149999999999</v>
      </c>
      <c r="D2262" s="36">
        <v>553.22149999999999</v>
      </c>
      <c r="E2262" s="36">
        <v>553.22149999999999</v>
      </c>
    </row>
    <row r="2263" spans="1:5" x14ac:dyDescent="0.3">
      <c r="A2263" s="1">
        <v>45746</v>
      </c>
      <c r="B2263" s="37">
        <v>553.64490000000001</v>
      </c>
      <c r="C2263" s="37">
        <v>553.64490000000001</v>
      </c>
      <c r="D2263" s="37">
        <v>553.64490000000001</v>
      </c>
      <c r="E2263" s="37">
        <v>553.64490000000001</v>
      </c>
    </row>
    <row r="2264" spans="1:5" x14ac:dyDescent="0.3">
      <c r="A2264" s="2">
        <v>45747</v>
      </c>
      <c r="B2264" s="36">
        <v>554.06859999999995</v>
      </c>
      <c r="C2264" s="36">
        <v>554.06859999999995</v>
      </c>
      <c r="D2264" s="36">
        <v>554.06859999999995</v>
      </c>
      <c r="E2264" s="36">
        <v>554.06859999999995</v>
      </c>
    </row>
    <row r="2265" spans="1:5" x14ac:dyDescent="0.3">
      <c r="A2265" s="1">
        <v>45748</v>
      </c>
      <c r="B2265" s="37">
        <v>554.49270000000001</v>
      </c>
      <c r="C2265" s="37">
        <v>554.49270000000001</v>
      </c>
      <c r="D2265" s="37">
        <v>554.49270000000001</v>
      </c>
      <c r="E2265" s="37">
        <v>554.49270000000001</v>
      </c>
    </row>
    <row r="2266" spans="1:5" x14ac:dyDescent="0.3">
      <c r="A2266" s="2">
        <v>45749</v>
      </c>
      <c r="B2266" s="36">
        <v>554.9171</v>
      </c>
      <c r="C2266" s="36">
        <v>554.9171</v>
      </c>
      <c r="D2266" s="36">
        <v>554.9171</v>
      </c>
      <c r="E2266" s="36">
        <v>554.9171</v>
      </c>
    </row>
    <row r="2267" spans="1:5" x14ac:dyDescent="0.3">
      <c r="A2267" s="1">
        <v>45750</v>
      </c>
      <c r="B2267" s="37">
        <v>555.34180000000003</v>
      </c>
      <c r="C2267" s="37">
        <v>555.34180000000003</v>
      </c>
      <c r="D2267" s="37">
        <v>555.34180000000003</v>
      </c>
      <c r="E2267" s="37">
        <v>555.34180000000003</v>
      </c>
    </row>
    <row r="2268" spans="1:5" x14ac:dyDescent="0.3">
      <c r="A2268" s="2">
        <v>45751</v>
      </c>
      <c r="B2268" s="36">
        <v>555.76679999999999</v>
      </c>
      <c r="C2268" s="36">
        <v>555.76679999999999</v>
      </c>
      <c r="D2268" s="36">
        <v>555.76679999999999</v>
      </c>
      <c r="E2268" s="36">
        <v>555.76679999999999</v>
      </c>
    </row>
    <row r="2269" spans="1:5" x14ac:dyDescent="0.3">
      <c r="A2269" s="1">
        <v>45752</v>
      </c>
      <c r="B2269" s="37">
        <v>556.19209999999998</v>
      </c>
      <c r="C2269" s="37">
        <v>556.19209999999998</v>
      </c>
      <c r="D2269" s="37">
        <v>556.19209999999998</v>
      </c>
      <c r="E2269" s="37">
        <v>556.19209999999998</v>
      </c>
    </row>
    <row r="2270" spans="1:5" x14ac:dyDescent="0.3">
      <c r="A2270" s="2">
        <v>45753</v>
      </c>
      <c r="B2270" s="36">
        <v>556.61779999999999</v>
      </c>
      <c r="C2270" s="36">
        <v>556.61779999999999</v>
      </c>
      <c r="D2270" s="36">
        <v>556.61779999999999</v>
      </c>
      <c r="E2270" s="36">
        <v>556.61779999999999</v>
      </c>
    </row>
    <row r="2271" spans="1:5" x14ac:dyDescent="0.3">
      <c r="A2271" s="1">
        <v>45754</v>
      </c>
      <c r="B2271" s="37">
        <v>557.04380000000003</v>
      </c>
      <c r="C2271" s="37">
        <v>557.04380000000003</v>
      </c>
      <c r="D2271" s="37">
        <v>557.04380000000003</v>
      </c>
      <c r="E2271" s="37">
        <v>557.04380000000003</v>
      </c>
    </row>
    <row r="2272" spans="1:5" x14ac:dyDescent="0.3">
      <c r="A2272" s="2">
        <v>45755</v>
      </c>
      <c r="B2272" s="36">
        <v>557.47019999999998</v>
      </c>
      <c r="C2272" s="36">
        <v>557.47019999999998</v>
      </c>
      <c r="D2272" s="36">
        <v>557.47019999999998</v>
      </c>
      <c r="E2272" s="36">
        <v>557.47019999999998</v>
      </c>
    </row>
    <row r="2273" spans="1:5" x14ac:dyDescent="0.3">
      <c r="A2273" s="1">
        <v>45756</v>
      </c>
      <c r="B2273" s="37">
        <v>557.89679999999998</v>
      </c>
      <c r="C2273" s="37">
        <v>557.89679999999998</v>
      </c>
      <c r="D2273" s="37">
        <v>557.89679999999998</v>
      </c>
      <c r="E2273" s="37">
        <v>557.89679999999998</v>
      </c>
    </row>
    <row r="2274" spans="1:5" x14ac:dyDescent="0.3">
      <c r="A2274" s="2">
        <v>45757</v>
      </c>
      <c r="B2274" s="36">
        <v>558.32380000000001</v>
      </c>
      <c r="C2274" s="36">
        <v>558.32380000000001</v>
      </c>
      <c r="D2274" s="36">
        <v>558.32380000000001</v>
      </c>
      <c r="E2274" s="36">
        <v>558.32380000000001</v>
      </c>
    </row>
    <row r="2275" spans="1:5" x14ac:dyDescent="0.3">
      <c r="A2275" s="1">
        <v>45758</v>
      </c>
      <c r="B2275" s="37">
        <v>558.75109999999995</v>
      </c>
      <c r="C2275" s="37">
        <v>558.75109999999995</v>
      </c>
      <c r="D2275" s="37">
        <v>558.75109999999995</v>
      </c>
      <c r="E2275" s="37">
        <v>558.75109999999995</v>
      </c>
    </row>
    <row r="2276" spans="1:5" x14ac:dyDescent="0.3">
      <c r="A2276" s="2">
        <v>45759</v>
      </c>
      <c r="B2276" s="36">
        <v>559.17870000000005</v>
      </c>
      <c r="C2276" s="36">
        <v>559.17870000000005</v>
      </c>
      <c r="D2276" s="36">
        <v>559.17870000000005</v>
      </c>
      <c r="E2276" s="36">
        <v>559.17870000000005</v>
      </c>
    </row>
    <row r="2277" spans="1:5" x14ac:dyDescent="0.3">
      <c r="A2277" s="1">
        <v>45760</v>
      </c>
      <c r="B2277" s="37">
        <v>559.60670000000005</v>
      </c>
      <c r="C2277" s="37">
        <v>559.60670000000005</v>
      </c>
      <c r="D2277" s="37">
        <v>559.60670000000005</v>
      </c>
      <c r="E2277" s="37">
        <v>559.60670000000005</v>
      </c>
    </row>
    <row r="2278" spans="1:5" x14ac:dyDescent="0.3">
      <c r="A2278" s="2">
        <v>45761</v>
      </c>
      <c r="B2278" s="36">
        <v>560.03499999999997</v>
      </c>
      <c r="C2278" s="36">
        <v>560.03499999999997</v>
      </c>
      <c r="D2278" s="36">
        <v>560.03499999999997</v>
      </c>
      <c r="E2278" s="36">
        <v>560.03499999999997</v>
      </c>
    </row>
    <row r="2279" spans="1:5" x14ac:dyDescent="0.3">
      <c r="A2279" s="1">
        <v>45762</v>
      </c>
      <c r="B2279" s="37">
        <v>560.46360000000004</v>
      </c>
      <c r="C2279" s="37">
        <v>560.46360000000004</v>
      </c>
      <c r="D2279" s="37">
        <v>560.46360000000004</v>
      </c>
      <c r="E2279" s="37">
        <v>560.46360000000004</v>
      </c>
    </row>
    <row r="2280" spans="1:5" x14ac:dyDescent="0.3">
      <c r="A2280" s="2">
        <v>45763</v>
      </c>
      <c r="B2280" s="36">
        <v>561.14279999999997</v>
      </c>
      <c r="C2280" s="36">
        <v>561.14279999999997</v>
      </c>
      <c r="D2280" s="36">
        <v>561.14279999999997</v>
      </c>
      <c r="E2280" s="36">
        <v>561.14279999999997</v>
      </c>
    </row>
    <row r="2281" spans="1:5" x14ac:dyDescent="0.3">
      <c r="A2281" s="1">
        <v>45764</v>
      </c>
      <c r="B2281" s="37">
        <v>561.82280000000003</v>
      </c>
      <c r="C2281" s="37">
        <v>561.82280000000003</v>
      </c>
      <c r="D2281" s="37">
        <v>561.82280000000003</v>
      </c>
      <c r="E2281" s="37">
        <v>561.82280000000003</v>
      </c>
    </row>
    <row r="2282" spans="1:5" x14ac:dyDescent="0.3">
      <c r="A2282" s="2">
        <v>45765</v>
      </c>
      <c r="B2282" s="36">
        <v>562.50360000000001</v>
      </c>
      <c r="C2282" s="36">
        <v>562.50360000000001</v>
      </c>
      <c r="D2282" s="36">
        <v>562.50360000000001</v>
      </c>
      <c r="E2282" s="36">
        <v>562.50360000000001</v>
      </c>
    </row>
    <row r="2283" spans="1:5" x14ac:dyDescent="0.3">
      <c r="A2283" s="1">
        <v>45766</v>
      </c>
      <c r="B2283" s="37">
        <v>563.18520000000001</v>
      </c>
      <c r="C2283" s="37">
        <v>563.18520000000001</v>
      </c>
      <c r="D2283" s="37">
        <v>563.18520000000001</v>
      </c>
      <c r="E2283" s="37">
        <v>563.18520000000001</v>
      </c>
    </row>
    <row r="2284" spans="1:5" x14ac:dyDescent="0.3">
      <c r="A2284" s="2">
        <v>45767</v>
      </c>
      <c r="B2284" s="36">
        <v>563.86770000000001</v>
      </c>
      <c r="C2284" s="36">
        <v>563.86770000000001</v>
      </c>
      <c r="D2284" s="36">
        <v>563.86770000000001</v>
      </c>
      <c r="E2284" s="36">
        <v>563.86770000000001</v>
      </c>
    </row>
    <row r="2285" spans="1:5" x14ac:dyDescent="0.3">
      <c r="A2285" s="1">
        <v>45768</v>
      </c>
      <c r="B2285" s="37">
        <v>564.55100000000004</v>
      </c>
      <c r="C2285" s="37">
        <v>564.55100000000004</v>
      </c>
      <c r="D2285" s="37">
        <v>564.55100000000004</v>
      </c>
      <c r="E2285" s="37">
        <v>564.55100000000004</v>
      </c>
    </row>
    <row r="2286" spans="1:5" x14ac:dyDescent="0.3">
      <c r="A2286" s="2">
        <v>45769</v>
      </c>
      <c r="B2286" s="36">
        <v>565.23509999999999</v>
      </c>
      <c r="C2286" s="36">
        <v>565.23509999999999</v>
      </c>
      <c r="D2286" s="36">
        <v>565.23509999999999</v>
      </c>
      <c r="E2286" s="36">
        <v>565.23509999999999</v>
      </c>
    </row>
    <row r="2287" spans="1:5" x14ac:dyDescent="0.3">
      <c r="A2287" s="1">
        <v>45770</v>
      </c>
      <c r="B2287" s="37">
        <v>565.92010000000005</v>
      </c>
      <c r="C2287" s="37">
        <v>565.92010000000005</v>
      </c>
      <c r="D2287" s="37">
        <v>565.92010000000005</v>
      </c>
      <c r="E2287" s="37">
        <v>565.92010000000005</v>
      </c>
    </row>
    <row r="2288" spans="1:5" x14ac:dyDescent="0.3">
      <c r="A2288" s="2">
        <v>45771</v>
      </c>
      <c r="B2288" s="36">
        <v>566.60580000000004</v>
      </c>
      <c r="C2288" s="36">
        <v>566.60580000000004</v>
      </c>
      <c r="D2288" s="36">
        <v>566.60580000000004</v>
      </c>
      <c r="E2288" s="36">
        <v>566.60580000000004</v>
      </c>
    </row>
    <row r="2289" spans="1:5" x14ac:dyDescent="0.3">
      <c r="A2289" s="1">
        <v>45772</v>
      </c>
      <c r="B2289" s="37">
        <v>567.29240000000004</v>
      </c>
      <c r="C2289" s="37">
        <v>567.29240000000004</v>
      </c>
      <c r="D2289" s="37">
        <v>567.29240000000004</v>
      </c>
      <c r="E2289" s="37">
        <v>567.29240000000004</v>
      </c>
    </row>
    <row r="2290" spans="1:5" x14ac:dyDescent="0.3">
      <c r="A2290" s="2">
        <v>45773</v>
      </c>
      <c r="B2290" s="36">
        <v>567.97990000000004</v>
      </c>
      <c r="C2290" s="36">
        <v>567.97990000000004</v>
      </c>
      <c r="D2290" s="36">
        <v>567.97990000000004</v>
      </c>
      <c r="E2290" s="36">
        <v>567.97990000000004</v>
      </c>
    </row>
    <row r="2291" spans="1:5" x14ac:dyDescent="0.3">
      <c r="A2291" s="1">
        <v>45774</v>
      </c>
      <c r="B2291" s="37">
        <v>568.66819999999996</v>
      </c>
      <c r="C2291" s="37">
        <v>568.66819999999996</v>
      </c>
      <c r="D2291" s="37">
        <v>568.66819999999996</v>
      </c>
      <c r="E2291" s="37">
        <v>568.66819999999996</v>
      </c>
    </row>
    <row r="2292" spans="1:5" x14ac:dyDescent="0.3">
      <c r="A2292" s="2">
        <v>45775</v>
      </c>
      <c r="B2292" s="36">
        <v>569.35730000000001</v>
      </c>
      <c r="C2292" s="36">
        <v>569.35730000000001</v>
      </c>
      <c r="D2292" s="36">
        <v>569.35730000000001</v>
      </c>
      <c r="E2292" s="36">
        <v>569.35730000000001</v>
      </c>
    </row>
    <row r="2293" spans="1:5" x14ac:dyDescent="0.3">
      <c r="A2293" s="1">
        <v>45776</v>
      </c>
      <c r="B2293" s="37">
        <v>570.04719999999998</v>
      </c>
      <c r="C2293" s="37">
        <v>570.04719999999998</v>
      </c>
      <c r="D2293" s="37">
        <v>570.04719999999998</v>
      </c>
      <c r="E2293" s="37">
        <v>570.04719999999998</v>
      </c>
    </row>
    <row r="2294" spans="1:5" x14ac:dyDescent="0.3">
      <c r="A2294" s="2">
        <v>45777</v>
      </c>
      <c r="B2294" s="36">
        <v>570.73800000000006</v>
      </c>
      <c r="C2294" s="36">
        <v>570.73800000000006</v>
      </c>
      <c r="D2294" s="36">
        <v>570.73800000000006</v>
      </c>
      <c r="E2294" s="36">
        <v>570.73800000000006</v>
      </c>
    </row>
    <row r="2295" spans="1:5" x14ac:dyDescent="0.3">
      <c r="A2295" s="1">
        <v>45778</v>
      </c>
      <c r="B2295" s="37">
        <v>571.42960000000005</v>
      </c>
      <c r="C2295" s="37">
        <v>571.42960000000005</v>
      </c>
      <c r="D2295" s="37">
        <v>571.42960000000005</v>
      </c>
      <c r="E2295" s="37">
        <v>571.42960000000005</v>
      </c>
    </row>
    <row r="2296" spans="1:5" x14ac:dyDescent="0.3">
      <c r="A2296" s="2">
        <v>45779</v>
      </c>
      <c r="B2296" s="36">
        <v>572.12210000000005</v>
      </c>
      <c r="C2296" s="36">
        <v>572.12210000000005</v>
      </c>
      <c r="D2296" s="36">
        <v>572.12210000000005</v>
      </c>
      <c r="E2296" s="36">
        <v>572.12210000000005</v>
      </c>
    </row>
    <row r="2297" spans="1:5" x14ac:dyDescent="0.3">
      <c r="A2297" s="1">
        <v>45780</v>
      </c>
      <c r="B2297" s="37">
        <v>572.81539999999995</v>
      </c>
      <c r="C2297" s="37">
        <v>572.81539999999995</v>
      </c>
      <c r="D2297" s="37">
        <v>572.81539999999995</v>
      </c>
      <c r="E2297" s="37">
        <v>572.81539999999995</v>
      </c>
    </row>
    <row r="2298" spans="1:5" x14ac:dyDescent="0.3">
      <c r="A2298" s="2">
        <v>45781</v>
      </c>
      <c r="B2298" s="36">
        <v>573.5095</v>
      </c>
      <c r="C2298" s="36">
        <v>573.5095</v>
      </c>
      <c r="D2298" s="36">
        <v>573.5095</v>
      </c>
      <c r="E2298" s="36">
        <v>573.5095</v>
      </c>
    </row>
    <row r="2299" spans="1:5" x14ac:dyDescent="0.3">
      <c r="A2299" s="1">
        <v>45782</v>
      </c>
      <c r="B2299" s="37">
        <v>574.20450000000005</v>
      </c>
      <c r="C2299" s="37">
        <v>574.20450000000005</v>
      </c>
      <c r="D2299" s="37">
        <v>574.20450000000005</v>
      </c>
      <c r="E2299" s="37">
        <v>574.20450000000005</v>
      </c>
    </row>
    <row r="2300" spans="1:5" x14ac:dyDescent="0.3">
      <c r="A2300" s="2">
        <v>45783</v>
      </c>
      <c r="B2300" s="36">
        <v>574.90030000000002</v>
      </c>
      <c r="C2300" s="36">
        <v>574.90030000000002</v>
      </c>
      <c r="D2300" s="36">
        <v>574.90030000000002</v>
      </c>
      <c r="E2300" s="36">
        <v>574.90030000000002</v>
      </c>
    </row>
    <row r="2301" spans="1:5" x14ac:dyDescent="0.3">
      <c r="A2301" s="1">
        <v>45784</v>
      </c>
      <c r="B2301" s="37">
        <v>575.59699999999998</v>
      </c>
      <c r="C2301" s="37">
        <v>575.59699999999998</v>
      </c>
      <c r="D2301" s="37">
        <v>575.59699999999998</v>
      </c>
      <c r="E2301" s="37">
        <v>575.59699999999998</v>
      </c>
    </row>
    <row r="2302" spans="1:5" x14ac:dyDescent="0.3">
      <c r="A2302" s="2">
        <v>45785</v>
      </c>
      <c r="B2302" s="36">
        <v>576.29449999999997</v>
      </c>
      <c r="C2302" s="36">
        <v>576.29449999999997</v>
      </c>
      <c r="D2302" s="36">
        <v>576.29449999999997</v>
      </c>
      <c r="E2302" s="36">
        <v>576.29449999999997</v>
      </c>
    </row>
    <row r="2303" spans="1:5" x14ac:dyDescent="0.3">
      <c r="A2303" s="1">
        <v>45786</v>
      </c>
      <c r="B2303" s="37">
        <v>576.99279999999999</v>
      </c>
      <c r="C2303" s="37">
        <v>576.99279999999999</v>
      </c>
      <c r="D2303" s="37">
        <v>576.99279999999999</v>
      </c>
      <c r="E2303" s="37">
        <v>576.99279999999999</v>
      </c>
    </row>
    <row r="2304" spans="1:5" x14ac:dyDescent="0.3">
      <c r="A2304" s="2">
        <v>45787</v>
      </c>
      <c r="B2304" s="36">
        <v>577.69200000000001</v>
      </c>
      <c r="C2304" s="36">
        <v>577.69200000000001</v>
      </c>
      <c r="D2304" s="36">
        <v>577.69200000000001</v>
      </c>
      <c r="E2304" s="36">
        <v>577.69200000000001</v>
      </c>
    </row>
    <row r="2305" spans="1:5" x14ac:dyDescent="0.3">
      <c r="A2305" s="1">
        <v>45788</v>
      </c>
      <c r="B2305" s="37">
        <v>578.39210000000003</v>
      </c>
      <c r="C2305" s="37">
        <v>578.39210000000003</v>
      </c>
      <c r="D2305" s="37">
        <v>578.39210000000003</v>
      </c>
      <c r="E2305" s="37">
        <v>578.39210000000003</v>
      </c>
    </row>
    <row r="2306" spans="1:5" x14ac:dyDescent="0.3">
      <c r="A2306" s="2">
        <v>45789</v>
      </c>
      <c r="B2306" s="36">
        <v>579.09299999999996</v>
      </c>
      <c r="C2306" s="36">
        <v>579.09299999999996</v>
      </c>
      <c r="D2306" s="36">
        <v>579.09299999999996</v>
      </c>
      <c r="E2306" s="36">
        <v>579.09299999999996</v>
      </c>
    </row>
    <row r="2307" spans="1:5" x14ac:dyDescent="0.3">
      <c r="A2307" s="1">
        <v>45790</v>
      </c>
      <c r="B2307" s="37">
        <v>579.79470000000003</v>
      </c>
      <c r="C2307" s="37">
        <v>579.79470000000003</v>
      </c>
      <c r="D2307" s="37">
        <v>579.79470000000003</v>
      </c>
      <c r="E2307" s="37">
        <v>579.79470000000003</v>
      </c>
    </row>
    <row r="2308" spans="1:5" x14ac:dyDescent="0.3">
      <c r="A2308" s="2">
        <v>45791</v>
      </c>
      <c r="B2308" s="36">
        <v>580.4973</v>
      </c>
      <c r="C2308" s="36">
        <v>580.4973</v>
      </c>
      <c r="D2308" s="36">
        <v>580.4973</v>
      </c>
      <c r="E2308" s="36">
        <v>580.4973</v>
      </c>
    </row>
    <row r="2309" spans="1:5" x14ac:dyDescent="0.3">
      <c r="A2309" s="1">
        <v>45792</v>
      </c>
      <c r="B2309" s="37">
        <v>581.20079999999996</v>
      </c>
      <c r="C2309" s="37">
        <v>581.20079999999996</v>
      </c>
      <c r="D2309" s="37">
        <v>581.20079999999996</v>
      </c>
      <c r="E2309" s="37">
        <v>581.20079999999996</v>
      </c>
    </row>
    <row r="2310" spans="1:5" x14ac:dyDescent="0.3">
      <c r="A2310" s="2">
        <v>45793</v>
      </c>
      <c r="B2310" s="36">
        <v>581.71870000000001</v>
      </c>
      <c r="C2310" s="36">
        <v>581.71870000000001</v>
      </c>
      <c r="D2310" s="36">
        <v>581.71870000000001</v>
      </c>
      <c r="E2310" s="36">
        <v>581.71870000000001</v>
      </c>
    </row>
    <row r="2311" spans="1:5" x14ac:dyDescent="0.3">
      <c r="A2311" s="1">
        <v>45794</v>
      </c>
      <c r="B2311" s="37">
        <v>582.23720000000003</v>
      </c>
      <c r="C2311" s="37">
        <v>582.23720000000003</v>
      </c>
      <c r="D2311" s="37">
        <v>582.23720000000003</v>
      </c>
      <c r="E2311" s="37">
        <v>582.23720000000003</v>
      </c>
    </row>
    <row r="2312" spans="1:5" x14ac:dyDescent="0.3">
      <c r="A2312" s="2">
        <v>45795</v>
      </c>
      <c r="B2312" s="36">
        <v>582.75609999999995</v>
      </c>
      <c r="C2312" s="36">
        <v>582.75609999999995</v>
      </c>
      <c r="D2312" s="36">
        <v>582.75609999999995</v>
      </c>
      <c r="E2312" s="36">
        <v>582.75609999999995</v>
      </c>
    </row>
    <row r="2313" spans="1:5" x14ac:dyDescent="0.3">
      <c r="A2313" s="1">
        <v>45796</v>
      </c>
      <c r="B2313" s="37">
        <v>583.27539999999999</v>
      </c>
      <c r="C2313" s="37">
        <v>583.27539999999999</v>
      </c>
      <c r="D2313" s="37">
        <v>583.27539999999999</v>
      </c>
      <c r="E2313" s="37">
        <v>583.27539999999999</v>
      </c>
    </row>
    <row r="2314" spans="1:5" x14ac:dyDescent="0.3">
      <c r="A2314" s="2">
        <v>45797</v>
      </c>
      <c r="B2314" s="36">
        <v>583.79520000000002</v>
      </c>
      <c r="C2314" s="36">
        <v>583.79520000000002</v>
      </c>
      <c r="D2314" s="36">
        <v>583.79520000000002</v>
      </c>
      <c r="E2314" s="36">
        <v>583.79520000000002</v>
      </c>
    </row>
    <row r="2315" spans="1:5" x14ac:dyDescent="0.3">
      <c r="A2315" s="1">
        <v>45798</v>
      </c>
      <c r="B2315" s="37">
        <v>584.31550000000004</v>
      </c>
      <c r="C2315" s="37">
        <v>584.31550000000004</v>
      </c>
      <c r="D2315" s="37">
        <v>584.31550000000004</v>
      </c>
      <c r="E2315" s="37">
        <v>584.31550000000004</v>
      </c>
    </row>
    <row r="2316" spans="1:5" x14ac:dyDescent="0.3">
      <c r="A2316" s="2">
        <v>45799</v>
      </c>
      <c r="B2316" s="36">
        <v>584.83630000000005</v>
      </c>
      <c r="C2316" s="36">
        <v>584.83630000000005</v>
      </c>
      <c r="D2316" s="36">
        <v>584.83630000000005</v>
      </c>
      <c r="E2316" s="36">
        <v>584.83630000000005</v>
      </c>
    </row>
    <row r="2317" spans="1:5" x14ac:dyDescent="0.3">
      <c r="A2317" s="1">
        <v>45800</v>
      </c>
      <c r="B2317" s="37">
        <v>585.35749999999996</v>
      </c>
      <c r="C2317" s="37">
        <v>585.35749999999996</v>
      </c>
      <c r="D2317" s="37">
        <v>585.35749999999996</v>
      </c>
      <c r="E2317" s="37">
        <v>585.35749999999996</v>
      </c>
    </row>
    <row r="2318" spans="1:5" x14ac:dyDescent="0.3">
      <c r="A2318" s="2">
        <v>45801</v>
      </c>
      <c r="B2318" s="36">
        <v>585.87919999999997</v>
      </c>
      <c r="C2318" s="36">
        <v>585.87919999999997</v>
      </c>
      <c r="D2318" s="36">
        <v>585.87919999999997</v>
      </c>
      <c r="E2318" s="36">
        <v>585.87919999999997</v>
      </c>
    </row>
    <row r="2319" spans="1:5" x14ac:dyDescent="0.3">
      <c r="A2319" s="1">
        <v>45802</v>
      </c>
      <c r="B2319" s="37">
        <v>586.40129999999999</v>
      </c>
      <c r="C2319" s="37">
        <v>586.40129999999999</v>
      </c>
      <c r="D2319" s="37">
        <v>586.40129999999999</v>
      </c>
      <c r="E2319" s="37">
        <v>586.40129999999999</v>
      </c>
    </row>
    <row r="2320" spans="1:5" x14ac:dyDescent="0.3">
      <c r="A2320" s="2">
        <v>45803</v>
      </c>
      <c r="B2320" s="36">
        <v>586.9239</v>
      </c>
      <c r="C2320" s="36">
        <v>586.9239</v>
      </c>
      <c r="D2320" s="36">
        <v>586.9239</v>
      </c>
      <c r="E2320" s="36">
        <v>586.9239</v>
      </c>
    </row>
    <row r="2321" spans="1:5" x14ac:dyDescent="0.3">
      <c r="A2321" s="1">
        <v>45804</v>
      </c>
      <c r="B2321" s="37">
        <v>587.447</v>
      </c>
      <c r="C2321" s="37">
        <v>587.447</v>
      </c>
      <c r="D2321" s="37">
        <v>587.447</v>
      </c>
      <c r="E2321" s="37">
        <v>587.447</v>
      </c>
    </row>
    <row r="2322" spans="1:5" x14ac:dyDescent="0.3">
      <c r="A2322" s="2">
        <v>45805</v>
      </c>
      <c r="B2322" s="36">
        <v>587.97050000000002</v>
      </c>
      <c r="C2322" s="36">
        <v>587.97050000000002</v>
      </c>
      <c r="D2322" s="36">
        <v>587.97050000000002</v>
      </c>
      <c r="E2322" s="36">
        <v>587.97050000000002</v>
      </c>
    </row>
    <row r="2323" spans="1:5" x14ac:dyDescent="0.3">
      <c r="A2323" s="1">
        <v>45806</v>
      </c>
      <c r="B2323" s="37">
        <v>588.49450000000002</v>
      </c>
      <c r="C2323" s="37">
        <v>588.49450000000002</v>
      </c>
      <c r="D2323" s="37">
        <v>588.49450000000002</v>
      </c>
      <c r="E2323" s="37">
        <v>588.49450000000002</v>
      </c>
    </row>
    <row r="2324" spans="1:5" x14ac:dyDescent="0.3">
      <c r="A2324" s="2">
        <v>45807</v>
      </c>
      <c r="B2324" s="36">
        <v>589.01900000000001</v>
      </c>
      <c r="C2324" s="36">
        <v>589.01900000000001</v>
      </c>
      <c r="D2324" s="36">
        <v>589.01900000000001</v>
      </c>
      <c r="E2324" s="36">
        <v>589.01900000000001</v>
      </c>
    </row>
    <row r="2325" spans="1:5" x14ac:dyDescent="0.3">
      <c r="A2325" s="1">
        <v>45808</v>
      </c>
      <c r="B2325" s="37">
        <v>589.54390000000001</v>
      </c>
      <c r="C2325" s="37">
        <v>589.54390000000001</v>
      </c>
      <c r="D2325" s="37">
        <v>589.54390000000001</v>
      </c>
      <c r="E2325" s="37">
        <v>589.54390000000001</v>
      </c>
    </row>
    <row r="2326" spans="1:5" x14ac:dyDescent="0.3">
      <c r="A2326" s="2">
        <v>45809</v>
      </c>
      <c r="B2326" s="36">
        <v>590.0693</v>
      </c>
      <c r="C2326" s="36">
        <v>590.0693</v>
      </c>
      <c r="D2326" s="36">
        <v>590.0693</v>
      </c>
      <c r="E2326" s="36">
        <v>590.0693</v>
      </c>
    </row>
    <row r="2327" spans="1:5" x14ac:dyDescent="0.3">
      <c r="A2327" s="1">
        <v>45810</v>
      </c>
      <c r="B2327" s="37">
        <v>590.59519999999998</v>
      </c>
      <c r="C2327" s="37">
        <v>590.59519999999998</v>
      </c>
      <c r="D2327" s="37">
        <v>590.59519999999998</v>
      </c>
      <c r="E2327" s="37">
        <v>590.59519999999998</v>
      </c>
    </row>
    <row r="2328" spans="1:5" x14ac:dyDescent="0.3">
      <c r="A2328" s="2">
        <v>45811</v>
      </c>
      <c r="B2328" s="36">
        <v>591.12159999999994</v>
      </c>
      <c r="C2328" s="36">
        <v>591.12159999999994</v>
      </c>
      <c r="D2328" s="36">
        <v>591.12159999999994</v>
      </c>
      <c r="E2328" s="36">
        <v>591.12159999999994</v>
      </c>
    </row>
    <row r="2329" spans="1:5" x14ac:dyDescent="0.3">
      <c r="A2329" s="1">
        <v>45812</v>
      </c>
      <c r="B2329" s="37">
        <v>591.64840000000004</v>
      </c>
      <c r="C2329" s="37">
        <v>591.64840000000004</v>
      </c>
      <c r="D2329" s="37">
        <v>591.64840000000004</v>
      </c>
      <c r="E2329" s="37">
        <v>591.64840000000004</v>
      </c>
    </row>
    <row r="2330" spans="1:5" x14ac:dyDescent="0.3">
      <c r="A2330" s="2">
        <v>45813</v>
      </c>
      <c r="B2330" s="36">
        <v>592.17560000000003</v>
      </c>
      <c r="C2330" s="36">
        <v>592.17560000000003</v>
      </c>
      <c r="D2330" s="36">
        <v>592.17560000000003</v>
      </c>
      <c r="E2330" s="36">
        <v>592.17560000000003</v>
      </c>
    </row>
    <row r="2331" spans="1:5" x14ac:dyDescent="0.3">
      <c r="A2331" s="1">
        <v>45814</v>
      </c>
      <c r="B2331" s="37">
        <v>592.70339999999999</v>
      </c>
      <c r="C2331" s="37">
        <v>592.70339999999999</v>
      </c>
      <c r="D2331" s="37">
        <v>592.70339999999999</v>
      </c>
      <c r="E2331" s="37">
        <v>592.70339999999999</v>
      </c>
    </row>
    <row r="2332" spans="1:5" x14ac:dyDescent="0.3">
      <c r="A2332" s="2">
        <v>45815</v>
      </c>
      <c r="B2332" s="36">
        <v>593.23159999999996</v>
      </c>
      <c r="C2332" s="36">
        <v>593.23159999999996</v>
      </c>
      <c r="D2332" s="36">
        <v>593.23159999999996</v>
      </c>
      <c r="E2332" s="36">
        <v>593.23159999999996</v>
      </c>
    </row>
    <row r="2333" spans="1:5" x14ac:dyDescent="0.3">
      <c r="A2333" s="1">
        <v>45816</v>
      </c>
      <c r="B2333" s="37">
        <v>593.76030000000003</v>
      </c>
      <c r="C2333" s="37">
        <v>593.76030000000003</v>
      </c>
      <c r="D2333" s="37">
        <v>593.76030000000003</v>
      </c>
      <c r="E2333" s="37">
        <v>593.76030000000003</v>
      </c>
    </row>
    <row r="2334" spans="1:5" x14ac:dyDescent="0.3">
      <c r="A2334" s="2">
        <v>45817</v>
      </c>
      <c r="B2334" s="36">
        <v>594.28949999999998</v>
      </c>
      <c r="C2334" s="36">
        <v>594.28949999999998</v>
      </c>
      <c r="D2334" s="36">
        <v>594.28949999999998</v>
      </c>
      <c r="E2334" s="36">
        <v>594.28949999999998</v>
      </c>
    </row>
    <row r="2335" spans="1:5" x14ac:dyDescent="0.3">
      <c r="A2335" s="1">
        <v>45818</v>
      </c>
      <c r="B2335" s="37">
        <v>594.81910000000005</v>
      </c>
      <c r="C2335" s="37">
        <v>594.81910000000005</v>
      </c>
      <c r="D2335" s="37">
        <v>594.81910000000005</v>
      </c>
      <c r="E2335" s="37">
        <v>594.81910000000005</v>
      </c>
    </row>
    <row r="2336" spans="1:5" x14ac:dyDescent="0.3">
      <c r="A2336" s="2">
        <v>45819</v>
      </c>
      <c r="B2336" s="36">
        <v>595.3492</v>
      </c>
      <c r="C2336" s="36">
        <v>595.3492</v>
      </c>
      <c r="D2336" s="36">
        <v>595.3492</v>
      </c>
      <c r="E2336" s="36">
        <v>595.3492</v>
      </c>
    </row>
    <row r="2337" spans="1:5" x14ac:dyDescent="0.3">
      <c r="A2337" s="1">
        <v>45820</v>
      </c>
      <c r="B2337" s="37">
        <v>595.87980000000005</v>
      </c>
      <c r="C2337" s="37">
        <v>595.87980000000005</v>
      </c>
      <c r="D2337" s="37">
        <v>595.87980000000005</v>
      </c>
      <c r="E2337" s="37">
        <v>595.87980000000005</v>
      </c>
    </row>
    <row r="2338" spans="1:5" x14ac:dyDescent="0.3">
      <c r="A2338" s="2">
        <v>45821</v>
      </c>
      <c r="B2338" s="36">
        <v>596.41089999999997</v>
      </c>
      <c r="C2338" s="36">
        <v>596.41089999999997</v>
      </c>
      <c r="D2338" s="36">
        <v>596.41089999999997</v>
      </c>
      <c r="E2338" s="36">
        <v>596.41089999999997</v>
      </c>
    </row>
    <row r="2339" spans="1:5" x14ac:dyDescent="0.3">
      <c r="A2339" s="1">
        <v>45822</v>
      </c>
      <c r="B2339" s="37">
        <v>596.94240000000002</v>
      </c>
      <c r="C2339" s="37">
        <v>596.94240000000002</v>
      </c>
      <c r="D2339" s="37">
        <v>596.94240000000002</v>
      </c>
      <c r="E2339" s="37">
        <v>596.94240000000002</v>
      </c>
    </row>
    <row r="2340" spans="1:5" x14ac:dyDescent="0.3">
      <c r="A2340" s="2">
        <v>45823</v>
      </c>
      <c r="B2340" s="36">
        <v>597.47439999999995</v>
      </c>
      <c r="C2340" s="36">
        <v>597.47439999999995</v>
      </c>
      <c r="D2340" s="36">
        <v>597.47439999999995</v>
      </c>
      <c r="E2340" s="36">
        <v>597.47439999999995</v>
      </c>
    </row>
    <row r="2341" spans="1:5" x14ac:dyDescent="0.3">
      <c r="A2341" s="1">
        <v>45824</v>
      </c>
      <c r="B2341" s="37">
        <v>597.77099999999996</v>
      </c>
      <c r="C2341" s="37">
        <v>597.77099999999996</v>
      </c>
      <c r="D2341" s="37">
        <v>597.77099999999996</v>
      </c>
      <c r="E2341" s="37">
        <v>597.77099999999996</v>
      </c>
    </row>
    <row r="2342" spans="1:5" x14ac:dyDescent="0.3">
      <c r="A2342" s="2">
        <v>45825</v>
      </c>
      <c r="B2342" s="36">
        <v>598.06769999999995</v>
      </c>
      <c r="C2342" s="36">
        <v>598.06769999999995</v>
      </c>
      <c r="D2342" s="36">
        <v>598.06769999999995</v>
      </c>
      <c r="E2342" s="36">
        <v>598.06769999999995</v>
      </c>
    </row>
    <row r="2343" spans="1:5" x14ac:dyDescent="0.3">
      <c r="A2343" s="1">
        <v>45826</v>
      </c>
      <c r="B2343" s="37">
        <v>598.3646</v>
      </c>
      <c r="C2343" s="37">
        <v>598.3646</v>
      </c>
      <c r="D2343" s="37">
        <v>598.3646</v>
      </c>
      <c r="E2343" s="37">
        <v>598.3646</v>
      </c>
    </row>
    <row r="2344" spans="1:5" x14ac:dyDescent="0.3">
      <c r="A2344" s="2">
        <v>45827</v>
      </c>
      <c r="B2344" s="36">
        <v>598.66160000000002</v>
      </c>
      <c r="C2344" s="36">
        <v>598.66160000000002</v>
      </c>
      <c r="D2344" s="36">
        <v>598.66160000000002</v>
      </c>
      <c r="E2344" s="36">
        <v>598.66160000000002</v>
      </c>
    </row>
    <row r="2345" spans="1:5" x14ac:dyDescent="0.3">
      <c r="A2345" s="1">
        <v>45828</v>
      </c>
      <c r="B2345" s="37">
        <v>598.9588</v>
      </c>
      <c r="C2345" s="37">
        <v>598.9588</v>
      </c>
      <c r="D2345" s="37">
        <v>598.9588</v>
      </c>
      <c r="E2345" s="37">
        <v>598.9588</v>
      </c>
    </row>
    <row r="2346" spans="1:5" x14ac:dyDescent="0.3">
      <c r="A2346" s="2">
        <v>45829</v>
      </c>
      <c r="B2346" s="36">
        <v>599.25609999999995</v>
      </c>
      <c r="C2346" s="36">
        <v>599.25609999999995</v>
      </c>
      <c r="D2346" s="36">
        <v>599.25609999999995</v>
      </c>
      <c r="E2346" s="36">
        <v>599.25609999999995</v>
      </c>
    </row>
    <row r="2347" spans="1:5" x14ac:dyDescent="0.3">
      <c r="A2347" s="1">
        <v>45830</v>
      </c>
      <c r="B2347" s="37">
        <v>599.55359999999996</v>
      </c>
      <c r="C2347" s="37">
        <v>599.55359999999996</v>
      </c>
      <c r="D2347" s="37">
        <v>599.55359999999996</v>
      </c>
      <c r="E2347" s="37">
        <v>599.55359999999996</v>
      </c>
    </row>
    <row r="2348" spans="1:5" x14ac:dyDescent="0.3">
      <c r="A2348" s="2">
        <v>45831</v>
      </c>
      <c r="B2348" s="36">
        <v>599.85119999999995</v>
      </c>
      <c r="C2348" s="36">
        <v>599.85119999999995</v>
      </c>
      <c r="D2348" s="36">
        <v>599.85119999999995</v>
      </c>
      <c r="E2348" s="36">
        <v>599.85119999999995</v>
      </c>
    </row>
    <row r="2349" spans="1:5" x14ac:dyDescent="0.3">
      <c r="A2349" s="1">
        <v>45832</v>
      </c>
      <c r="B2349" s="37">
        <v>600.149</v>
      </c>
      <c r="C2349" s="37">
        <v>600.149</v>
      </c>
      <c r="D2349" s="37">
        <v>600.149</v>
      </c>
      <c r="E2349" s="37">
        <v>600.149</v>
      </c>
    </row>
    <row r="2350" spans="1:5" x14ac:dyDescent="0.3">
      <c r="A2350" s="2">
        <v>45833</v>
      </c>
      <c r="B2350" s="36">
        <v>600.44690000000003</v>
      </c>
      <c r="C2350" s="36">
        <v>600.44690000000003</v>
      </c>
      <c r="D2350" s="36">
        <v>600.44690000000003</v>
      </c>
      <c r="E2350" s="36">
        <v>600.44690000000003</v>
      </c>
    </row>
    <row r="2351" spans="1:5" x14ac:dyDescent="0.3">
      <c r="A2351" s="1">
        <v>45834</v>
      </c>
      <c r="B2351" s="37">
        <v>600.745</v>
      </c>
      <c r="C2351" s="37">
        <v>600.745</v>
      </c>
      <c r="D2351" s="37">
        <v>600.745</v>
      </c>
      <c r="E2351" s="37">
        <v>600.745</v>
      </c>
    </row>
    <row r="2352" spans="1:5" x14ac:dyDescent="0.3">
      <c r="A2352" s="2">
        <v>45835</v>
      </c>
      <c r="B2352" s="36">
        <v>601.04319999999996</v>
      </c>
      <c r="C2352" s="36">
        <v>601.04319999999996</v>
      </c>
      <c r="D2352" s="36">
        <v>601.04319999999996</v>
      </c>
      <c r="E2352" s="36">
        <v>601.04319999999996</v>
      </c>
    </row>
    <row r="2353" spans="1:5" x14ac:dyDescent="0.3">
      <c r="A2353" s="1">
        <v>45836</v>
      </c>
      <c r="B2353" s="37">
        <v>601.34159999999997</v>
      </c>
      <c r="C2353" s="37">
        <v>601.34159999999997</v>
      </c>
      <c r="D2353" s="37">
        <v>601.34159999999997</v>
      </c>
      <c r="E2353" s="37">
        <v>601.34159999999997</v>
      </c>
    </row>
    <row r="2354" spans="1:5" x14ac:dyDescent="0.3">
      <c r="A2354" s="2">
        <v>45837</v>
      </c>
      <c r="B2354" s="36">
        <v>601.64009999999996</v>
      </c>
      <c r="C2354" s="36">
        <v>601.64009999999996</v>
      </c>
      <c r="D2354" s="36">
        <v>601.64009999999996</v>
      </c>
      <c r="E2354" s="36">
        <v>601.64009999999996</v>
      </c>
    </row>
    <row r="2355" spans="1:5" x14ac:dyDescent="0.3">
      <c r="A2355" s="1">
        <v>45838</v>
      </c>
      <c r="B2355" s="37">
        <v>601.93880000000001</v>
      </c>
      <c r="C2355" s="37">
        <v>601.93880000000001</v>
      </c>
      <c r="D2355" s="37">
        <v>601.93880000000001</v>
      </c>
      <c r="E2355" s="37">
        <v>601.93880000000001</v>
      </c>
    </row>
    <row r="2356" spans="1:5" x14ac:dyDescent="0.3">
      <c r="A2356" s="2">
        <v>45839</v>
      </c>
      <c r="B2356" s="36">
        <v>602.23760000000004</v>
      </c>
      <c r="C2356" s="36">
        <v>602.23760000000004</v>
      </c>
      <c r="D2356" s="36">
        <v>602.23760000000004</v>
      </c>
      <c r="E2356" s="36">
        <v>602.23760000000004</v>
      </c>
    </row>
    <row r="2357" spans="1:5" x14ac:dyDescent="0.3">
      <c r="A2357" s="1">
        <v>45840</v>
      </c>
      <c r="B2357" s="37">
        <v>602.53650000000005</v>
      </c>
      <c r="C2357" s="37">
        <v>602.53650000000005</v>
      </c>
      <c r="D2357" s="37">
        <v>602.53650000000005</v>
      </c>
      <c r="E2357" s="37">
        <v>602.53650000000005</v>
      </c>
    </row>
    <row r="2358" spans="1:5" x14ac:dyDescent="0.3">
      <c r="A2358" s="2">
        <v>45841</v>
      </c>
      <c r="B2358" s="36">
        <v>602.8356</v>
      </c>
      <c r="C2358" s="36">
        <v>602.8356</v>
      </c>
      <c r="D2358" s="36">
        <v>602.8356</v>
      </c>
      <c r="E2358" s="36">
        <v>602.8356</v>
      </c>
    </row>
    <row r="2359" spans="1:5" x14ac:dyDescent="0.3">
      <c r="A2359" s="1">
        <v>45842</v>
      </c>
      <c r="B2359" s="37">
        <v>603.13490000000002</v>
      </c>
      <c r="C2359" s="37">
        <v>603.13490000000002</v>
      </c>
      <c r="D2359" s="37">
        <v>603.13490000000002</v>
      </c>
      <c r="E2359" s="37">
        <v>603.13490000000002</v>
      </c>
    </row>
    <row r="2360" spans="1:5" x14ac:dyDescent="0.3">
      <c r="A2360" s="2">
        <v>45843</v>
      </c>
      <c r="B2360" s="36">
        <v>603.43430000000001</v>
      </c>
      <c r="C2360" s="36">
        <v>603.43430000000001</v>
      </c>
      <c r="D2360" s="36">
        <v>603.43430000000001</v>
      </c>
      <c r="E2360" s="36">
        <v>603.43430000000001</v>
      </c>
    </row>
    <row r="2361" spans="1:5" x14ac:dyDescent="0.3">
      <c r="A2361" s="1">
        <v>45844</v>
      </c>
      <c r="B2361" s="37">
        <v>603.73379999999997</v>
      </c>
      <c r="C2361" s="37">
        <v>603.73379999999997</v>
      </c>
      <c r="D2361" s="37">
        <v>603.73379999999997</v>
      </c>
      <c r="E2361" s="37">
        <v>603.73379999999997</v>
      </c>
    </row>
    <row r="2362" spans="1:5" x14ac:dyDescent="0.3">
      <c r="A2362" s="2">
        <v>45845</v>
      </c>
      <c r="B2362" s="36">
        <v>604.0335</v>
      </c>
      <c r="C2362" s="36">
        <v>604.0335</v>
      </c>
      <c r="D2362" s="36">
        <v>604.0335</v>
      </c>
      <c r="E2362" s="36">
        <v>604.0335</v>
      </c>
    </row>
    <row r="2363" spans="1:5" x14ac:dyDescent="0.3">
      <c r="A2363" s="1">
        <v>45846</v>
      </c>
      <c r="B2363" s="37">
        <v>604.33339999999998</v>
      </c>
      <c r="C2363" s="37">
        <v>604.33339999999998</v>
      </c>
      <c r="D2363" s="37">
        <v>604.33339999999998</v>
      </c>
      <c r="E2363" s="37">
        <v>604.33339999999998</v>
      </c>
    </row>
    <row r="2364" spans="1:5" x14ac:dyDescent="0.3">
      <c r="A2364" s="2">
        <v>45847</v>
      </c>
      <c r="B2364" s="36">
        <v>604.63340000000005</v>
      </c>
      <c r="C2364" s="36">
        <v>604.63340000000005</v>
      </c>
      <c r="D2364" s="36">
        <v>604.63340000000005</v>
      </c>
      <c r="E2364" s="36">
        <v>604.63340000000005</v>
      </c>
    </row>
    <row r="2365" spans="1:5" x14ac:dyDescent="0.3">
      <c r="A2365" s="1">
        <v>45848</v>
      </c>
      <c r="B2365" s="37">
        <v>604.93349999999998</v>
      </c>
      <c r="C2365" s="37">
        <v>604.93349999999998</v>
      </c>
      <c r="D2365" s="37">
        <v>604.93349999999998</v>
      </c>
      <c r="E2365" s="37">
        <v>604.93349999999998</v>
      </c>
    </row>
    <row r="2366" spans="1:5" x14ac:dyDescent="0.3">
      <c r="A2366" s="2">
        <v>45849</v>
      </c>
      <c r="B2366" s="36">
        <v>605.23379999999997</v>
      </c>
      <c r="C2366" s="36">
        <v>605.23379999999997</v>
      </c>
      <c r="D2366" s="36">
        <v>605.23379999999997</v>
      </c>
      <c r="E2366" s="36">
        <v>605.23379999999997</v>
      </c>
    </row>
    <row r="2367" spans="1:5" x14ac:dyDescent="0.3">
      <c r="A2367" s="1">
        <v>45850</v>
      </c>
      <c r="B2367" s="37">
        <v>605.53430000000003</v>
      </c>
      <c r="C2367" s="37">
        <v>605.53430000000003</v>
      </c>
      <c r="D2367" s="37">
        <v>605.53430000000003</v>
      </c>
      <c r="E2367" s="37">
        <v>605.53430000000003</v>
      </c>
    </row>
    <row r="2368" spans="1:5" x14ac:dyDescent="0.3">
      <c r="A2368" s="2">
        <v>45851</v>
      </c>
      <c r="B2368" s="36">
        <v>605.83489999999995</v>
      </c>
      <c r="C2368" s="36">
        <v>605.83489999999995</v>
      </c>
      <c r="D2368" s="36">
        <v>605.83489999999995</v>
      </c>
      <c r="E2368" s="36">
        <v>605.83489999999995</v>
      </c>
    </row>
    <row r="2369" spans="1:5" x14ac:dyDescent="0.3">
      <c r="A2369" s="1">
        <v>45852</v>
      </c>
      <c r="B2369" s="37">
        <v>606.13559999999995</v>
      </c>
      <c r="C2369" s="37">
        <v>606.13559999999995</v>
      </c>
      <c r="D2369" s="37">
        <v>606.13559999999995</v>
      </c>
      <c r="E2369" s="37">
        <v>606.13559999999995</v>
      </c>
    </row>
    <row r="2370" spans="1:5" x14ac:dyDescent="0.3">
      <c r="A2370" s="2">
        <v>45853</v>
      </c>
      <c r="B2370" s="36">
        <v>606.43650000000002</v>
      </c>
      <c r="C2370" s="36">
        <v>606.43650000000002</v>
      </c>
      <c r="D2370" s="36">
        <v>606.43650000000002</v>
      </c>
      <c r="E2370" s="36">
        <v>606.43650000000002</v>
      </c>
    </row>
    <row r="2371" spans="1:5" x14ac:dyDescent="0.3">
      <c r="A2371" s="1">
        <v>45854</v>
      </c>
      <c r="B2371" s="37">
        <v>606.74710000000005</v>
      </c>
      <c r="C2371" s="37">
        <v>606.74710000000005</v>
      </c>
      <c r="D2371" s="37">
        <v>606.74710000000005</v>
      </c>
      <c r="E2371" s="37">
        <v>606.74710000000005</v>
      </c>
    </row>
    <row r="2372" spans="1:5" x14ac:dyDescent="0.3">
      <c r="A2372" s="2">
        <v>45855</v>
      </c>
      <c r="B2372" s="36">
        <v>607.05790000000002</v>
      </c>
      <c r="C2372" s="36">
        <v>607.05790000000002</v>
      </c>
      <c r="D2372" s="36">
        <v>607.05790000000002</v>
      </c>
      <c r="E2372" s="36">
        <v>607.05790000000002</v>
      </c>
    </row>
    <row r="2373" spans="1:5" x14ac:dyDescent="0.3">
      <c r="A2373" s="1">
        <v>45856</v>
      </c>
      <c r="B2373" s="37">
        <v>607.36879999999996</v>
      </c>
      <c r="C2373" s="37">
        <v>607.36879999999996</v>
      </c>
      <c r="D2373" s="37">
        <v>607.36879999999996</v>
      </c>
      <c r="E2373" s="37">
        <v>607.36879999999996</v>
      </c>
    </row>
    <row r="2374" spans="1:5" x14ac:dyDescent="0.3">
      <c r="A2374" s="2">
        <v>45857</v>
      </c>
      <c r="B2374" s="36">
        <v>607.67989999999998</v>
      </c>
      <c r="C2374" s="36">
        <v>607.67989999999998</v>
      </c>
      <c r="D2374" s="36">
        <v>607.67989999999998</v>
      </c>
      <c r="E2374" s="36">
        <v>607.67989999999998</v>
      </c>
    </row>
    <row r="2375" spans="1:5" x14ac:dyDescent="0.3">
      <c r="A2375" s="1">
        <v>45858</v>
      </c>
      <c r="B2375" s="37">
        <v>607.99109999999996</v>
      </c>
      <c r="C2375" s="37">
        <v>607.99109999999996</v>
      </c>
      <c r="D2375" s="37">
        <v>607.99109999999996</v>
      </c>
      <c r="E2375" s="37">
        <v>607.99109999999996</v>
      </c>
    </row>
    <row r="2376" spans="1:5" x14ac:dyDescent="0.3">
      <c r="A2376" s="2">
        <v>45859</v>
      </c>
      <c r="B2376" s="36">
        <v>608.30250000000001</v>
      </c>
      <c r="C2376" s="36">
        <v>608.30250000000001</v>
      </c>
      <c r="D2376" s="36">
        <v>608.30250000000001</v>
      </c>
      <c r="E2376" s="36">
        <v>608.30250000000001</v>
      </c>
    </row>
    <row r="2377" spans="1:5" x14ac:dyDescent="0.3">
      <c r="A2377" s="1">
        <v>45860</v>
      </c>
      <c r="B2377" s="37">
        <v>608.61410000000001</v>
      </c>
      <c r="C2377" s="37">
        <v>608.61410000000001</v>
      </c>
      <c r="D2377" s="37">
        <v>608.61410000000001</v>
      </c>
      <c r="E2377" s="37">
        <v>608.61410000000001</v>
      </c>
    </row>
    <row r="2378" spans="1:5" x14ac:dyDescent="0.3">
      <c r="A2378" s="2">
        <v>45861</v>
      </c>
      <c r="B2378" s="36">
        <v>608.92579999999998</v>
      </c>
      <c r="C2378" s="36">
        <v>608.92579999999998</v>
      </c>
      <c r="D2378" s="36">
        <v>608.92579999999998</v>
      </c>
      <c r="E2378" s="36">
        <v>608.92579999999998</v>
      </c>
    </row>
    <row r="2379" spans="1:5" x14ac:dyDescent="0.3">
      <c r="A2379" s="1">
        <v>45862</v>
      </c>
      <c r="B2379" s="37">
        <v>609.23760000000004</v>
      </c>
      <c r="C2379" s="37">
        <v>609.23760000000004</v>
      </c>
      <c r="D2379" s="37">
        <v>609.23760000000004</v>
      </c>
      <c r="E2379" s="37">
        <v>609.23760000000004</v>
      </c>
    </row>
    <row r="2380" spans="1:5" x14ac:dyDescent="0.3">
      <c r="A2380" s="2">
        <v>45863</v>
      </c>
      <c r="B2380" s="36">
        <v>609.54970000000003</v>
      </c>
      <c r="C2380" s="36">
        <v>609.54970000000003</v>
      </c>
      <c r="D2380" s="36">
        <v>609.54970000000003</v>
      </c>
      <c r="E2380" s="36">
        <v>609.54970000000003</v>
      </c>
    </row>
    <row r="2381" spans="1:5" x14ac:dyDescent="0.3">
      <c r="A2381" s="1">
        <v>45864</v>
      </c>
      <c r="B2381" s="37">
        <v>609.86189999999999</v>
      </c>
      <c r="C2381" s="37">
        <v>609.86189999999999</v>
      </c>
      <c r="D2381" s="37">
        <v>609.86189999999999</v>
      </c>
      <c r="E2381" s="37">
        <v>609.86189999999999</v>
      </c>
    </row>
    <row r="2382" spans="1:5" x14ac:dyDescent="0.3">
      <c r="A2382" s="2">
        <v>45865</v>
      </c>
      <c r="B2382" s="36">
        <v>610.17420000000004</v>
      </c>
      <c r="C2382" s="36">
        <v>610.17420000000004</v>
      </c>
      <c r="D2382" s="36">
        <v>610.17420000000004</v>
      </c>
      <c r="E2382" s="36">
        <v>610.17420000000004</v>
      </c>
    </row>
    <row r="2383" spans="1:5" x14ac:dyDescent="0.3">
      <c r="A2383" s="1">
        <v>45866</v>
      </c>
      <c r="B2383" s="37">
        <v>610.48670000000004</v>
      </c>
      <c r="C2383" s="37">
        <v>610.48670000000004</v>
      </c>
      <c r="D2383" s="37">
        <v>610.48670000000004</v>
      </c>
      <c r="E2383" s="37">
        <v>610.48670000000004</v>
      </c>
    </row>
    <row r="2384" spans="1:5" x14ac:dyDescent="0.3">
      <c r="A2384" s="2">
        <v>45867</v>
      </c>
      <c r="B2384" s="36">
        <v>610.79939999999999</v>
      </c>
      <c r="C2384" s="36">
        <v>610.79939999999999</v>
      </c>
      <c r="D2384" s="36">
        <v>610.79939999999999</v>
      </c>
      <c r="E2384" s="36">
        <v>610.79939999999999</v>
      </c>
    </row>
    <row r="2385" spans="1:5" x14ac:dyDescent="0.3">
      <c r="A2385" s="1">
        <v>45868</v>
      </c>
      <c r="B2385" s="37">
        <v>611.1123</v>
      </c>
      <c r="C2385" s="37">
        <v>611.1123</v>
      </c>
      <c r="D2385" s="37">
        <v>611.1123</v>
      </c>
      <c r="E2385" s="37">
        <v>611.1123</v>
      </c>
    </row>
    <row r="2386" spans="1:5" x14ac:dyDescent="0.3">
      <c r="A2386" s="2">
        <v>45869</v>
      </c>
      <c r="B2386" s="36">
        <v>611.42529999999999</v>
      </c>
      <c r="C2386" s="36">
        <v>611.42529999999999</v>
      </c>
      <c r="D2386" s="36">
        <v>611.42529999999999</v>
      </c>
      <c r="E2386" s="36">
        <v>611.42529999999999</v>
      </c>
    </row>
    <row r="2387" spans="1:5" x14ac:dyDescent="0.3">
      <c r="A2387" s="1">
        <v>45870</v>
      </c>
      <c r="B2387" s="37">
        <v>611.73839999999996</v>
      </c>
      <c r="C2387" s="37">
        <v>611.73839999999996</v>
      </c>
      <c r="D2387" s="37">
        <v>611.73839999999996</v>
      </c>
      <c r="E2387" s="37">
        <v>611.73839999999996</v>
      </c>
    </row>
    <row r="2388" spans="1:5" x14ac:dyDescent="0.3">
      <c r="A2388" s="2">
        <v>45871</v>
      </c>
      <c r="B2388" s="36">
        <v>612.05169999999998</v>
      </c>
      <c r="C2388" s="36">
        <v>612.05169999999998</v>
      </c>
      <c r="D2388" s="36">
        <v>612.05169999999998</v>
      </c>
      <c r="E2388" s="36">
        <v>612.05169999999998</v>
      </c>
    </row>
    <row r="2389" spans="1:5" x14ac:dyDescent="0.3">
      <c r="A2389" s="1">
        <v>45872</v>
      </c>
      <c r="B2389" s="37">
        <v>612.36519999999996</v>
      </c>
      <c r="C2389" s="37">
        <v>612.36519999999996</v>
      </c>
      <c r="D2389" s="37">
        <v>612.36519999999996</v>
      </c>
      <c r="E2389" s="37">
        <v>612.36519999999996</v>
      </c>
    </row>
    <row r="2390" spans="1:5" x14ac:dyDescent="0.3">
      <c r="A2390" s="2">
        <v>45873</v>
      </c>
      <c r="B2390" s="36">
        <v>612.67880000000002</v>
      </c>
      <c r="C2390" s="36">
        <v>612.67880000000002</v>
      </c>
      <c r="D2390" s="36">
        <v>612.67880000000002</v>
      </c>
      <c r="E2390" s="36">
        <v>612.67880000000002</v>
      </c>
    </row>
    <row r="2391" spans="1:5" x14ac:dyDescent="0.3">
      <c r="A2391" s="1">
        <v>45874</v>
      </c>
      <c r="B2391" s="37">
        <v>612.99260000000004</v>
      </c>
      <c r="C2391" s="37">
        <v>612.99260000000004</v>
      </c>
      <c r="D2391" s="37">
        <v>612.99260000000004</v>
      </c>
      <c r="E2391" s="37">
        <v>612.99260000000004</v>
      </c>
    </row>
    <row r="2392" spans="1:5" x14ac:dyDescent="0.3">
      <c r="A2392" s="2">
        <v>45875</v>
      </c>
      <c r="B2392" s="36">
        <v>613.3066</v>
      </c>
      <c r="C2392" s="36">
        <v>613.3066</v>
      </c>
      <c r="D2392" s="36">
        <v>613.3066</v>
      </c>
      <c r="E2392" s="36">
        <v>613.3066</v>
      </c>
    </row>
    <row r="2393" spans="1:5" x14ac:dyDescent="0.3">
      <c r="A2393" s="1">
        <v>45876</v>
      </c>
      <c r="B2393" s="37">
        <v>613.62070000000006</v>
      </c>
      <c r="C2393" s="37">
        <v>613.62070000000006</v>
      </c>
      <c r="D2393" s="37">
        <v>613.62070000000006</v>
      </c>
      <c r="E2393" s="37">
        <v>613.62070000000006</v>
      </c>
    </row>
    <row r="2394" spans="1:5" x14ac:dyDescent="0.3">
      <c r="A2394" s="2">
        <v>45877</v>
      </c>
      <c r="B2394" s="36">
        <v>613.93499999999995</v>
      </c>
      <c r="C2394" s="36">
        <v>613.93499999999995</v>
      </c>
      <c r="D2394" s="36">
        <v>613.93499999999995</v>
      </c>
      <c r="E2394" s="36">
        <v>613.93499999999995</v>
      </c>
    </row>
    <row r="2395" spans="1:5" x14ac:dyDescent="0.3">
      <c r="A2395" s="1">
        <v>45878</v>
      </c>
      <c r="B2395" s="37">
        <v>614.24940000000004</v>
      </c>
      <c r="C2395" s="37">
        <v>614.24940000000004</v>
      </c>
      <c r="D2395" s="37">
        <v>614.24940000000004</v>
      </c>
      <c r="E2395" s="37">
        <v>614.24940000000004</v>
      </c>
    </row>
    <row r="2396" spans="1:5" x14ac:dyDescent="0.3">
      <c r="A2396" s="2">
        <v>45879</v>
      </c>
      <c r="B2396" s="36">
        <v>614.56399999999996</v>
      </c>
      <c r="C2396" s="36">
        <v>614.56399999999996</v>
      </c>
      <c r="D2396" s="36">
        <v>614.56399999999996</v>
      </c>
      <c r="E2396" s="36">
        <v>614.56399999999996</v>
      </c>
    </row>
    <row r="2397" spans="1:5" x14ac:dyDescent="0.3">
      <c r="A2397" s="1">
        <v>45880</v>
      </c>
      <c r="B2397" s="37">
        <v>614.87879999999996</v>
      </c>
      <c r="C2397" s="37">
        <v>614.87879999999996</v>
      </c>
      <c r="D2397" s="37">
        <v>614.87879999999996</v>
      </c>
      <c r="E2397" s="37">
        <v>614.87879999999996</v>
      </c>
    </row>
    <row r="2398" spans="1:5" x14ac:dyDescent="0.3">
      <c r="A2398" s="2">
        <v>45881</v>
      </c>
      <c r="B2398" s="36">
        <v>615.19370000000004</v>
      </c>
      <c r="C2398" s="36">
        <v>615.19370000000004</v>
      </c>
      <c r="D2398" s="36">
        <v>615.19370000000004</v>
      </c>
      <c r="E2398" s="36">
        <v>615.19370000000004</v>
      </c>
    </row>
    <row r="2399" spans="1:5" x14ac:dyDescent="0.3">
      <c r="A2399" s="1">
        <v>45882</v>
      </c>
      <c r="B2399" s="37">
        <v>615.50879999999995</v>
      </c>
      <c r="C2399" s="37">
        <v>615.50879999999995</v>
      </c>
      <c r="D2399" s="37">
        <v>615.50879999999995</v>
      </c>
      <c r="E2399" s="37">
        <v>615.50879999999995</v>
      </c>
    </row>
    <row r="2400" spans="1:5" x14ac:dyDescent="0.3">
      <c r="A2400" s="2">
        <v>45883</v>
      </c>
      <c r="B2400" s="36">
        <v>615.82410000000004</v>
      </c>
      <c r="C2400" s="36">
        <v>615.82410000000004</v>
      </c>
      <c r="D2400" s="36">
        <v>615.82410000000004</v>
      </c>
      <c r="E2400" s="36">
        <v>615.82410000000004</v>
      </c>
    </row>
    <row r="2401" spans="1:5" x14ac:dyDescent="0.3">
      <c r="A2401" s="1">
        <v>45884</v>
      </c>
      <c r="B2401" s="37">
        <v>616.1395</v>
      </c>
      <c r="C2401" s="37">
        <v>616.1395</v>
      </c>
      <c r="D2401" s="37">
        <v>616.1395</v>
      </c>
      <c r="E2401" s="37">
        <v>616.1395</v>
      </c>
    </row>
    <row r="2402" spans="1:5" x14ac:dyDescent="0.3">
      <c r="A2402" s="2">
        <v>45885</v>
      </c>
      <c r="B2402" s="36">
        <v>616.51369999999997</v>
      </c>
      <c r="C2402" s="36">
        <v>616.51369999999997</v>
      </c>
      <c r="D2402" s="36">
        <v>616.51369999999997</v>
      </c>
      <c r="E2402" s="36">
        <v>616.51369999999997</v>
      </c>
    </row>
    <row r="2403" spans="1:5" x14ac:dyDescent="0.3">
      <c r="A2403" s="1">
        <v>45886</v>
      </c>
      <c r="B2403" s="37">
        <v>616.88810000000001</v>
      </c>
      <c r="C2403" s="37">
        <v>616.88810000000001</v>
      </c>
      <c r="D2403" s="37">
        <v>616.88810000000001</v>
      </c>
      <c r="E2403" s="37">
        <v>616.88810000000001</v>
      </c>
    </row>
    <row r="2404" spans="1:5" x14ac:dyDescent="0.3">
      <c r="A2404" s="2">
        <v>45887</v>
      </c>
      <c r="B2404" s="36">
        <v>617.26279999999997</v>
      </c>
      <c r="C2404" s="36">
        <v>617.26279999999997</v>
      </c>
      <c r="D2404" s="36">
        <v>617.26279999999997</v>
      </c>
      <c r="E2404" s="36">
        <v>617.26279999999997</v>
      </c>
    </row>
    <row r="2405" spans="1:5" x14ac:dyDescent="0.3">
      <c r="A2405" s="1">
        <v>45888</v>
      </c>
      <c r="B2405" s="37">
        <v>617.6377</v>
      </c>
      <c r="C2405" s="37">
        <v>617.6377</v>
      </c>
      <c r="D2405" s="37">
        <v>617.6377</v>
      </c>
      <c r="E2405" s="37">
        <v>617.6377</v>
      </c>
    </row>
    <row r="2406" spans="1:5" x14ac:dyDescent="0.3">
      <c r="A2406" s="2">
        <v>45889</v>
      </c>
      <c r="B2406" s="36">
        <v>618.01279999999997</v>
      </c>
      <c r="C2406" s="36">
        <v>618.01279999999997</v>
      </c>
      <c r="D2406" s="36">
        <v>618.01279999999997</v>
      </c>
      <c r="E2406" s="36">
        <v>618.01279999999997</v>
      </c>
    </row>
    <row r="2407" spans="1:5" x14ac:dyDescent="0.3">
      <c r="A2407" s="1">
        <v>45890</v>
      </c>
      <c r="B2407" s="37">
        <v>618.38810000000001</v>
      </c>
      <c r="C2407" s="37">
        <v>618.38810000000001</v>
      </c>
      <c r="D2407" s="37">
        <v>618.38810000000001</v>
      </c>
      <c r="E2407" s="37">
        <v>618.38810000000001</v>
      </c>
    </row>
    <row r="2408" spans="1:5" x14ac:dyDescent="0.3">
      <c r="A2408" s="2">
        <v>45891</v>
      </c>
      <c r="B2408" s="36">
        <v>618.76369999999997</v>
      </c>
      <c r="C2408" s="36">
        <v>618.76369999999997</v>
      </c>
      <c r="D2408" s="36">
        <v>618.76369999999997</v>
      </c>
      <c r="E2408" s="36">
        <v>618.76369999999997</v>
      </c>
    </row>
    <row r="2409" spans="1:5" x14ac:dyDescent="0.3">
      <c r="A2409" s="1">
        <v>45892</v>
      </c>
      <c r="B2409" s="37">
        <v>619.1395</v>
      </c>
      <c r="C2409" s="37">
        <v>619.1395</v>
      </c>
      <c r="D2409" s="37">
        <v>619.1395</v>
      </c>
      <c r="E2409" s="37">
        <v>619.1395</v>
      </c>
    </row>
    <row r="2410" spans="1:5" x14ac:dyDescent="0.3">
      <c r="A2410" s="2">
        <v>45893</v>
      </c>
      <c r="B2410" s="36">
        <v>619.51549999999997</v>
      </c>
      <c r="C2410" s="36">
        <v>619.51549999999997</v>
      </c>
      <c r="D2410" s="36">
        <v>619.51549999999997</v>
      </c>
      <c r="E2410" s="36">
        <v>619.51549999999997</v>
      </c>
    </row>
    <row r="2411" spans="1:5" x14ac:dyDescent="0.3">
      <c r="A2411" s="1">
        <v>45894</v>
      </c>
      <c r="B2411" s="37">
        <v>619.89179999999999</v>
      </c>
      <c r="C2411" s="37">
        <v>619.89179999999999</v>
      </c>
      <c r="D2411" s="37">
        <v>619.89179999999999</v>
      </c>
      <c r="E2411" s="37">
        <v>619.89179999999999</v>
      </c>
    </row>
    <row r="2412" spans="1:5" x14ac:dyDescent="0.3">
      <c r="A2412" s="2">
        <v>45895</v>
      </c>
      <c r="B2412" s="36">
        <v>620.26829999999995</v>
      </c>
      <c r="C2412" s="36">
        <v>620.26829999999995</v>
      </c>
      <c r="D2412" s="36">
        <v>620.26829999999995</v>
      </c>
      <c r="E2412" s="36">
        <v>620.26829999999995</v>
      </c>
    </row>
    <row r="2413" spans="1:5" x14ac:dyDescent="0.3">
      <c r="A2413" s="1">
        <v>45896</v>
      </c>
      <c r="B2413" s="37">
        <v>620.64499999999998</v>
      </c>
      <c r="C2413" s="37">
        <v>620.64499999999998</v>
      </c>
      <c r="D2413" s="37">
        <v>620.64499999999998</v>
      </c>
      <c r="E2413" s="37">
        <v>620.64499999999998</v>
      </c>
    </row>
    <row r="2414" spans="1:5" x14ac:dyDescent="0.3">
      <c r="A2414" s="2">
        <v>45897</v>
      </c>
      <c r="B2414" s="36">
        <v>621.02189999999996</v>
      </c>
      <c r="C2414" s="36">
        <v>621.02189999999996</v>
      </c>
      <c r="D2414" s="36">
        <v>621.02189999999996</v>
      </c>
      <c r="E2414" s="36">
        <v>621.02189999999996</v>
      </c>
    </row>
    <row r="2415" spans="1:5" x14ac:dyDescent="0.3">
      <c r="A2415" s="1">
        <v>45898</v>
      </c>
      <c r="B2415" s="37">
        <v>621.39909999999998</v>
      </c>
      <c r="C2415" s="37">
        <v>621.39909999999998</v>
      </c>
      <c r="D2415" s="37">
        <v>621.39909999999998</v>
      </c>
      <c r="E2415" s="37">
        <v>621.39909999999998</v>
      </c>
    </row>
    <row r="2416" spans="1:5" x14ac:dyDescent="0.3">
      <c r="A2416" s="2">
        <v>45899</v>
      </c>
      <c r="B2416" s="36">
        <v>621.77650000000006</v>
      </c>
      <c r="C2416" s="36">
        <v>621.77650000000006</v>
      </c>
      <c r="D2416" s="36">
        <v>621.77650000000006</v>
      </c>
      <c r="E2416" s="36">
        <v>621.77650000000006</v>
      </c>
    </row>
    <row r="2417" spans="1:5" x14ac:dyDescent="0.3">
      <c r="A2417" s="1">
        <v>45900</v>
      </c>
      <c r="B2417" s="37">
        <v>622.15409999999997</v>
      </c>
      <c r="C2417" s="37">
        <v>622.15409999999997</v>
      </c>
      <c r="D2417" s="37">
        <v>622.15409999999997</v>
      </c>
      <c r="E2417" s="37">
        <v>622.15409999999997</v>
      </c>
    </row>
    <row r="2418" spans="1:5" x14ac:dyDescent="0.3">
      <c r="A2418" s="2">
        <v>45901</v>
      </c>
      <c r="B2418" s="36">
        <v>622.53200000000004</v>
      </c>
      <c r="C2418" s="36">
        <v>622.53200000000004</v>
      </c>
      <c r="D2418" s="36">
        <v>622.53200000000004</v>
      </c>
      <c r="E2418" s="36">
        <v>622.53200000000004</v>
      </c>
    </row>
    <row r="2419" spans="1:5" x14ac:dyDescent="0.3">
      <c r="A2419" s="1">
        <v>45902</v>
      </c>
      <c r="B2419" s="37">
        <v>622.91010000000006</v>
      </c>
      <c r="C2419" s="37">
        <v>622.91010000000006</v>
      </c>
      <c r="D2419" s="37">
        <v>622.91010000000006</v>
      </c>
      <c r="E2419" s="37">
        <v>622.91010000000006</v>
      </c>
    </row>
    <row r="2420" spans="1:5" x14ac:dyDescent="0.3">
      <c r="A2420" s="2">
        <v>45903</v>
      </c>
      <c r="B2420" s="36">
        <v>623.28840000000002</v>
      </c>
      <c r="C2420" s="36">
        <v>623.28840000000002</v>
      </c>
      <c r="D2420" s="36">
        <v>623.28840000000002</v>
      </c>
      <c r="E2420" s="36">
        <v>623.28840000000002</v>
      </c>
    </row>
    <row r="2421" spans="1:5" x14ac:dyDescent="0.3">
      <c r="A2421" s="1">
        <v>45904</v>
      </c>
      <c r="B2421" s="37">
        <v>623.66690000000006</v>
      </c>
      <c r="C2421" s="37">
        <v>623.66690000000006</v>
      </c>
      <c r="D2421" s="37">
        <v>623.66690000000006</v>
      </c>
      <c r="E2421" s="37">
        <v>623.66690000000006</v>
      </c>
    </row>
    <row r="2422" spans="1:5" x14ac:dyDescent="0.3">
      <c r="A2422" s="2">
        <v>45905</v>
      </c>
      <c r="B2422" s="36">
        <v>624.04570000000001</v>
      </c>
      <c r="C2422" s="36">
        <v>624.04570000000001</v>
      </c>
      <c r="D2422" s="36">
        <v>624.04570000000001</v>
      </c>
      <c r="E2422" s="36">
        <v>624.04570000000001</v>
      </c>
    </row>
    <row r="2423" spans="1:5" x14ac:dyDescent="0.3">
      <c r="A2423" s="1">
        <v>45906</v>
      </c>
      <c r="B2423" s="37">
        <v>624.42470000000003</v>
      </c>
      <c r="C2423" s="37">
        <v>624.42470000000003</v>
      </c>
      <c r="D2423" s="37">
        <v>624.42470000000003</v>
      </c>
      <c r="E2423" s="37">
        <v>624.42470000000003</v>
      </c>
    </row>
    <row r="2424" spans="1:5" x14ac:dyDescent="0.3">
      <c r="A2424" s="2">
        <v>45907</v>
      </c>
      <c r="B2424" s="36">
        <v>624.8039</v>
      </c>
      <c r="C2424" s="36">
        <v>624.8039</v>
      </c>
      <c r="D2424" s="36">
        <v>624.8039</v>
      </c>
      <c r="E2424" s="36">
        <v>624.8039</v>
      </c>
    </row>
    <row r="2425" spans="1:5" x14ac:dyDescent="0.3">
      <c r="A2425" s="1">
        <v>45908</v>
      </c>
      <c r="B2425" s="37">
        <v>625.18340000000001</v>
      </c>
      <c r="C2425" s="37">
        <v>625.18340000000001</v>
      </c>
      <c r="D2425" s="37">
        <v>625.18340000000001</v>
      </c>
      <c r="E2425" s="37">
        <v>625.18340000000001</v>
      </c>
    </row>
    <row r="2426" spans="1:5" x14ac:dyDescent="0.3">
      <c r="A2426" s="2">
        <v>45909</v>
      </c>
      <c r="B2426" s="36">
        <v>625.56309999999996</v>
      </c>
      <c r="C2426" s="36">
        <v>625.56309999999996</v>
      </c>
      <c r="D2426" s="36">
        <v>625.56309999999996</v>
      </c>
      <c r="E2426" s="36">
        <v>625.56309999999996</v>
      </c>
    </row>
    <row r="2427" spans="1:5" x14ac:dyDescent="0.3">
      <c r="A2427" s="1">
        <v>45910</v>
      </c>
      <c r="B2427" s="37">
        <v>625.94299999999998</v>
      </c>
      <c r="C2427" s="37">
        <v>625.94299999999998</v>
      </c>
      <c r="D2427" s="37">
        <v>625.94299999999998</v>
      </c>
      <c r="E2427" s="37">
        <v>625.94299999999998</v>
      </c>
    </row>
    <row r="2428" spans="1:5" x14ac:dyDescent="0.3">
      <c r="A2428" s="2">
        <v>45911</v>
      </c>
      <c r="B2428" s="36">
        <v>626.32320000000004</v>
      </c>
      <c r="C2428" s="36">
        <v>626.32320000000004</v>
      </c>
      <c r="D2428" s="36">
        <v>626.32320000000004</v>
      </c>
      <c r="E2428" s="36">
        <v>626.32320000000004</v>
      </c>
    </row>
    <row r="2429" spans="1:5" x14ac:dyDescent="0.3">
      <c r="A2429" s="1">
        <v>45912</v>
      </c>
      <c r="B2429" s="37">
        <v>626.70360000000005</v>
      </c>
      <c r="C2429" s="37">
        <v>626.70360000000005</v>
      </c>
      <c r="D2429" s="37">
        <v>626.70360000000005</v>
      </c>
      <c r="E2429" s="37">
        <v>626.70360000000005</v>
      </c>
    </row>
    <row r="2430" spans="1:5" x14ac:dyDescent="0.3">
      <c r="A2430" s="2">
        <v>45913</v>
      </c>
      <c r="B2430" s="36">
        <v>627.08420000000001</v>
      </c>
      <c r="C2430" s="36">
        <v>627.08420000000001</v>
      </c>
      <c r="D2430" s="36">
        <v>627.08420000000001</v>
      </c>
      <c r="E2430" s="36">
        <v>627.08420000000001</v>
      </c>
    </row>
    <row r="2431" spans="1:5" x14ac:dyDescent="0.3">
      <c r="A2431" s="1">
        <v>45914</v>
      </c>
      <c r="B2431" s="37">
        <v>627.46500000000003</v>
      </c>
      <c r="C2431" s="37">
        <v>627.46500000000003</v>
      </c>
      <c r="D2431" s="37">
        <v>627.46500000000003</v>
      </c>
      <c r="E2431" s="37">
        <v>627.46500000000003</v>
      </c>
    </row>
    <row r="2432" spans="1:5" x14ac:dyDescent="0.3">
      <c r="A2432" s="2">
        <v>45915</v>
      </c>
      <c r="B2432" s="36">
        <v>627.84609999999998</v>
      </c>
      <c r="C2432" s="36">
        <v>627.84609999999998</v>
      </c>
      <c r="D2432" s="36">
        <v>627.84609999999998</v>
      </c>
      <c r="E2432" s="36">
        <v>627.84609999999998</v>
      </c>
    </row>
    <row r="2433" spans="1:5" x14ac:dyDescent="0.3">
      <c r="A2433" s="1">
        <v>45916</v>
      </c>
      <c r="B2433" s="37">
        <v>628.24019999999996</v>
      </c>
      <c r="C2433" s="37">
        <v>628.24019999999996</v>
      </c>
      <c r="D2433" s="37">
        <v>628.24019999999996</v>
      </c>
      <c r="E2433" s="37">
        <v>628.24019999999996</v>
      </c>
    </row>
    <row r="2434" spans="1:5" x14ac:dyDescent="0.3">
      <c r="A2434" s="2">
        <v>45917</v>
      </c>
      <c r="B2434" s="36">
        <v>628.63440000000003</v>
      </c>
      <c r="C2434" s="36">
        <v>628.63440000000003</v>
      </c>
      <c r="D2434" s="36">
        <v>628.63440000000003</v>
      </c>
      <c r="E2434" s="36">
        <v>628.63440000000003</v>
      </c>
    </row>
    <row r="2435" spans="1:5" x14ac:dyDescent="0.3">
      <c r="A2435" s="1">
        <v>45918</v>
      </c>
      <c r="B2435" s="37">
        <v>629.029</v>
      </c>
      <c r="C2435" s="37">
        <v>629.029</v>
      </c>
      <c r="D2435" s="37">
        <v>629.029</v>
      </c>
      <c r="E2435" s="37">
        <v>629.029</v>
      </c>
    </row>
    <row r="2436" spans="1:5" x14ac:dyDescent="0.3">
      <c r="A2436" s="2">
        <v>45919</v>
      </c>
      <c r="B2436" s="36">
        <v>629.42370000000005</v>
      </c>
      <c r="C2436" s="36">
        <v>629.42370000000005</v>
      </c>
      <c r="D2436" s="36">
        <v>629.42370000000005</v>
      </c>
      <c r="E2436" s="36">
        <v>629.42370000000005</v>
      </c>
    </row>
    <row r="2437" spans="1:5" x14ac:dyDescent="0.3">
      <c r="A2437" s="1">
        <v>45920</v>
      </c>
      <c r="B2437" s="37">
        <v>629.81880000000001</v>
      </c>
      <c r="C2437" s="37">
        <v>629.81880000000001</v>
      </c>
      <c r="D2437" s="37">
        <v>629.81880000000001</v>
      </c>
      <c r="E2437" s="37">
        <v>629.81880000000001</v>
      </c>
    </row>
    <row r="2438" spans="1:5" x14ac:dyDescent="0.3">
      <c r="A2438" s="2">
        <v>45921</v>
      </c>
      <c r="B2438" s="36">
        <v>630.21400000000006</v>
      </c>
      <c r="C2438" s="36">
        <v>630.21400000000006</v>
      </c>
      <c r="D2438" s="36">
        <v>630.21400000000006</v>
      </c>
      <c r="E2438" s="36">
        <v>630.21400000000006</v>
      </c>
    </row>
    <row r="2439" spans="1:5" x14ac:dyDescent="0.3">
      <c r="A2439" s="1">
        <v>45922</v>
      </c>
      <c r="B2439" s="37">
        <v>630.60950000000003</v>
      </c>
      <c r="C2439" s="37">
        <v>630.60950000000003</v>
      </c>
      <c r="D2439" s="37">
        <v>630.60950000000003</v>
      </c>
      <c r="E2439" s="37">
        <v>630.60950000000003</v>
      </c>
    </row>
    <row r="2440" spans="1:5" x14ac:dyDescent="0.3">
      <c r="A2440" s="2">
        <v>45923</v>
      </c>
      <c r="B2440" s="36">
        <v>631.00530000000003</v>
      </c>
      <c r="C2440" s="36">
        <v>631.00530000000003</v>
      </c>
      <c r="D2440" s="36">
        <v>631.00530000000003</v>
      </c>
      <c r="E2440" s="36">
        <v>631.00530000000003</v>
      </c>
    </row>
    <row r="2441" spans="1:5" x14ac:dyDescent="0.3">
      <c r="A2441" s="1">
        <v>45924</v>
      </c>
      <c r="B2441" s="37">
        <v>631.40129999999999</v>
      </c>
      <c r="C2441" s="37">
        <v>631.40129999999999</v>
      </c>
      <c r="D2441" s="37">
        <v>631.40129999999999</v>
      </c>
      <c r="E2441" s="37">
        <v>631.40129999999999</v>
      </c>
    </row>
    <row r="2442" spans="1:5" x14ac:dyDescent="0.3">
      <c r="A2442" s="2">
        <v>45925</v>
      </c>
      <c r="B2442" s="36">
        <v>631.79759999999999</v>
      </c>
      <c r="C2442" s="36">
        <v>631.79759999999999</v>
      </c>
      <c r="D2442" s="36">
        <v>631.79759999999999</v>
      </c>
      <c r="E2442" s="36">
        <v>631.79759999999999</v>
      </c>
    </row>
    <row r="2443" spans="1:5" x14ac:dyDescent="0.3">
      <c r="A2443" s="1">
        <v>45926</v>
      </c>
      <c r="B2443" s="37">
        <v>632.19410000000005</v>
      </c>
      <c r="C2443" s="37">
        <v>632.19410000000005</v>
      </c>
      <c r="D2443" s="37">
        <v>632.19410000000005</v>
      </c>
      <c r="E2443" s="37">
        <v>632.19410000000005</v>
      </c>
    </row>
    <row r="2444" spans="1:5" x14ac:dyDescent="0.3">
      <c r="A2444" s="2">
        <v>45927</v>
      </c>
      <c r="B2444" s="36">
        <v>632.59079999999994</v>
      </c>
      <c r="C2444" s="36">
        <v>632.59079999999994</v>
      </c>
      <c r="D2444" s="36">
        <v>632.59079999999994</v>
      </c>
      <c r="E2444" s="36">
        <v>632.59079999999994</v>
      </c>
    </row>
    <row r="2445" spans="1:5" x14ac:dyDescent="0.3">
      <c r="A2445" s="1">
        <v>45928</v>
      </c>
      <c r="B2445" s="37">
        <v>632.98779999999999</v>
      </c>
      <c r="C2445" s="37">
        <v>632.98779999999999</v>
      </c>
      <c r="D2445" s="37">
        <v>632.98779999999999</v>
      </c>
      <c r="E2445" s="37">
        <v>632.98779999999999</v>
      </c>
    </row>
    <row r="2446" spans="1:5" x14ac:dyDescent="0.3">
      <c r="A2446" s="2">
        <v>45929</v>
      </c>
      <c r="B2446" s="36">
        <v>633.38509999999997</v>
      </c>
      <c r="C2446" s="36">
        <v>633.38509999999997</v>
      </c>
      <c r="D2446" s="36">
        <v>633.38509999999997</v>
      </c>
      <c r="E2446" s="36">
        <v>633.38509999999997</v>
      </c>
    </row>
    <row r="2447" spans="1:5" x14ac:dyDescent="0.3">
      <c r="A2447" s="1">
        <v>45930</v>
      </c>
      <c r="B2447" s="37">
        <v>633.7826</v>
      </c>
      <c r="C2447" s="37">
        <v>633.7826</v>
      </c>
      <c r="D2447" s="37">
        <v>633.7826</v>
      </c>
      <c r="E2447" s="37">
        <v>633.7826</v>
      </c>
    </row>
    <row r="2448" spans="1:5" x14ac:dyDescent="0.3">
      <c r="A2448" s="2">
        <v>45931</v>
      </c>
      <c r="B2448" s="36">
        <v>634.18039999999996</v>
      </c>
      <c r="C2448" s="36">
        <v>634.18039999999996</v>
      </c>
      <c r="D2448" s="36">
        <v>634.18039999999996</v>
      </c>
      <c r="E2448" s="36">
        <v>634.18039999999996</v>
      </c>
    </row>
    <row r="2449" spans="1:5" x14ac:dyDescent="0.3">
      <c r="A2449" s="1">
        <v>45932</v>
      </c>
      <c r="B2449" s="37">
        <v>634.57839999999999</v>
      </c>
      <c r="C2449" s="37">
        <v>634.57839999999999</v>
      </c>
      <c r="D2449" s="37">
        <v>634.57839999999999</v>
      </c>
      <c r="E2449" s="37">
        <v>634.57839999999999</v>
      </c>
    </row>
    <row r="2450" spans="1:5" x14ac:dyDescent="0.3">
      <c r="A2450" s="2">
        <v>45933</v>
      </c>
      <c r="B2450" s="36">
        <v>634.97659999999996</v>
      </c>
      <c r="C2450" s="36">
        <v>634.97659999999996</v>
      </c>
      <c r="D2450" s="36">
        <v>634.97659999999996</v>
      </c>
      <c r="E2450" s="36">
        <v>634.97659999999996</v>
      </c>
    </row>
    <row r="2451" spans="1:5" x14ac:dyDescent="0.3">
      <c r="A2451" s="1">
        <v>45934</v>
      </c>
      <c r="B2451" s="37">
        <v>635.37509999999997</v>
      </c>
      <c r="C2451" s="37">
        <v>635.37509999999997</v>
      </c>
      <c r="D2451" s="37">
        <v>635.37509999999997</v>
      </c>
      <c r="E2451" s="37">
        <v>635.37509999999997</v>
      </c>
    </row>
    <row r="2452" spans="1:5" x14ac:dyDescent="0.3">
      <c r="A2452" s="2">
        <v>45935</v>
      </c>
      <c r="B2452" s="36">
        <v>635.77390000000003</v>
      </c>
      <c r="C2452" s="36">
        <v>635.77390000000003</v>
      </c>
      <c r="D2452" s="36">
        <v>635.77390000000003</v>
      </c>
      <c r="E2452" s="36">
        <v>635.77390000000003</v>
      </c>
    </row>
    <row r="2453" spans="1:5" x14ac:dyDescent="0.3">
      <c r="A2453" s="1">
        <v>45936</v>
      </c>
      <c r="B2453" s="37">
        <v>636.17290000000003</v>
      </c>
      <c r="C2453" s="37">
        <v>636.17290000000003</v>
      </c>
      <c r="D2453" s="37">
        <v>636.17290000000003</v>
      </c>
      <c r="E2453" s="37">
        <v>636.17290000000003</v>
      </c>
    </row>
    <row r="2454" spans="1:5" x14ac:dyDescent="0.3">
      <c r="A2454" s="2">
        <v>45937</v>
      </c>
      <c r="B2454" s="36">
        <v>636.57209999999998</v>
      </c>
      <c r="C2454" s="36">
        <v>636.57209999999998</v>
      </c>
      <c r="D2454" s="36">
        <v>636.57209999999998</v>
      </c>
      <c r="E2454" s="36">
        <v>636.57209999999998</v>
      </c>
    </row>
    <row r="2455" spans="1:5" x14ac:dyDescent="0.3">
      <c r="A2455" s="1">
        <v>45938</v>
      </c>
      <c r="B2455" s="37">
        <v>636.97159999999997</v>
      </c>
      <c r="C2455" s="37">
        <v>636.97159999999997</v>
      </c>
      <c r="D2455" s="37">
        <v>636.97159999999997</v>
      </c>
      <c r="E2455" s="37">
        <v>636.97159999999997</v>
      </c>
    </row>
    <row r="2456" spans="1:5" x14ac:dyDescent="0.3">
      <c r="A2456" s="2">
        <v>45939</v>
      </c>
      <c r="B2456" s="36">
        <v>637.37139999999999</v>
      </c>
      <c r="C2456" s="36">
        <v>637.37139999999999</v>
      </c>
      <c r="D2456" s="36">
        <v>637.37139999999999</v>
      </c>
      <c r="E2456" s="36">
        <v>637.37139999999999</v>
      </c>
    </row>
    <row r="2457" spans="1:5" x14ac:dyDescent="0.3">
      <c r="A2457" s="1">
        <v>45940</v>
      </c>
      <c r="B2457" s="37">
        <v>637.77139999999997</v>
      </c>
      <c r="C2457" s="37">
        <v>637.77139999999997</v>
      </c>
      <c r="D2457" s="37">
        <v>637.77139999999997</v>
      </c>
      <c r="E2457" s="37">
        <v>637.77139999999997</v>
      </c>
    </row>
    <row r="2458" spans="1:5" x14ac:dyDescent="0.3">
      <c r="A2458" s="2">
        <v>45941</v>
      </c>
      <c r="B2458" s="36">
        <v>638.17169999999999</v>
      </c>
      <c r="C2458" s="36">
        <v>638.17169999999999</v>
      </c>
      <c r="D2458" s="36">
        <v>638.17169999999999</v>
      </c>
      <c r="E2458" s="36">
        <v>638.17169999999999</v>
      </c>
    </row>
    <row r="2459" spans="1:5" x14ac:dyDescent="0.3">
      <c r="A2459" s="1">
        <v>45942</v>
      </c>
      <c r="B2459" s="37">
        <v>638.57219999999995</v>
      </c>
      <c r="C2459" s="37">
        <v>638.57219999999995</v>
      </c>
      <c r="D2459" s="37">
        <v>638.57219999999995</v>
      </c>
      <c r="E2459" s="37">
        <v>638.57219999999995</v>
      </c>
    </row>
    <row r="2460" spans="1:5" x14ac:dyDescent="0.3">
      <c r="A2460" s="2">
        <v>45943</v>
      </c>
      <c r="B2460" s="36">
        <v>638.97289999999998</v>
      </c>
      <c r="C2460" s="36">
        <v>638.97289999999998</v>
      </c>
      <c r="D2460" s="36">
        <v>638.97289999999998</v>
      </c>
      <c r="E2460" s="36">
        <v>638.97289999999998</v>
      </c>
    </row>
    <row r="2461" spans="1:5" x14ac:dyDescent="0.3">
      <c r="A2461" s="1">
        <v>45944</v>
      </c>
      <c r="B2461" s="37">
        <v>639.37390000000005</v>
      </c>
      <c r="C2461" s="37">
        <v>639.37390000000005</v>
      </c>
      <c r="D2461" s="37">
        <v>639.37390000000005</v>
      </c>
      <c r="E2461" s="37">
        <v>639.37390000000005</v>
      </c>
    </row>
    <row r="2462" spans="1:5" x14ac:dyDescent="0.3">
      <c r="A2462" s="2">
        <v>45945</v>
      </c>
      <c r="B2462" s="36">
        <v>639.77520000000004</v>
      </c>
      <c r="C2462" s="36">
        <v>639.77520000000004</v>
      </c>
      <c r="D2462" s="36">
        <v>639.77520000000004</v>
      </c>
      <c r="E2462" s="36">
        <v>639.77520000000004</v>
      </c>
    </row>
    <row r="2463" spans="1:5" x14ac:dyDescent="0.3">
      <c r="A2463" s="1">
        <v>45946</v>
      </c>
      <c r="B2463" s="37">
        <v>640.20429999999999</v>
      </c>
      <c r="C2463" s="37">
        <v>640.20429999999999</v>
      </c>
      <c r="D2463" s="37">
        <v>640.20429999999999</v>
      </c>
      <c r="E2463" s="37">
        <v>640.20429999999999</v>
      </c>
    </row>
    <row r="2464" spans="1:5" x14ac:dyDescent="0.3">
      <c r="A2464" s="2">
        <v>45947</v>
      </c>
      <c r="B2464" s="36">
        <v>640.6336</v>
      </c>
      <c r="C2464" s="36">
        <v>640.6336</v>
      </c>
      <c r="D2464" s="36">
        <v>640.6336</v>
      </c>
      <c r="E2464" s="36">
        <v>640.6336</v>
      </c>
    </row>
    <row r="2465" spans="1:5" x14ac:dyDescent="0.3">
      <c r="A2465" s="1">
        <v>45948</v>
      </c>
      <c r="B2465" s="37">
        <v>641.06320000000005</v>
      </c>
      <c r="C2465" s="37">
        <v>641.06320000000005</v>
      </c>
      <c r="D2465" s="37">
        <v>641.06320000000005</v>
      </c>
      <c r="E2465" s="37">
        <v>641.06320000000005</v>
      </c>
    </row>
    <row r="2466" spans="1:5" x14ac:dyDescent="0.3">
      <c r="A2466" s="2">
        <v>45949</v>
      </c>
      <c r="B2466" s="36">
        <v>641.49310000000003</v>
      </c>
      <c r="C2466" s="36">
        <v>641.49310000000003</v>
      </c>
      <c r="D2466" s="36">
        <v>641.49310000000003</v>
      </c>
      <c r="E2466" s="36">
        <v>641.49310000000003</v>
      </c>
    </row>
    <row r="2467" spans="1:5" x14ac:dyDescent="0.3">
      <c r="A2467" s="1">
        <v>45950</v>
      </c>
      <c r="B2467" s="37">
        <v>641.92330000000004</v>
      </c>
      <c r="C2467" s="37">
        <v>641.92330000000004</v>
      </c>
      <c r="D2467" s="37">
        <v>641.92330000000004</v>
      </c>
      <c r="E2467" s="37">
        <v>641.92330000000004</v>
      </c>
    </row>
    <row r="2468" spans="1:5" x14ac:dyDescent="0.3">
      <c r="A2468" s="2">
        <v>45951</v>
      </c>
      <c r="B2468" s="36">
        <v>642.35379999999998</v>
      </c>
      <c r="C2468" s="36">
        <v>642.35379999999998</v>
      </c>
      <c r="D2468" s="36">
        <v>642.35379999999998</v>
      </c>
      <c r="E2468" s="36">
        <v>642.35379999999998</v>
      </c>
    </row>
    <row r="2469" spans="1:5" x14ac:dyDescent="0.3">
      <c r="A2469" s="1">
        <v>45952</v>
      </c>
      <c r="B2469" s="37">
        <v>642.78459999999995</v>
      </c>
      <c r="C2469" s="37">
        <v>642.78459999999995</v>
      </c>
      <c r="D2469" s="37">
        <v>642.78459999999995</v>
      </c>
      <c r="E2469" s="37">
        <v>642.78459999999995</v>
      </c>
    </row>
    <row r="2470" spans="1:5" x14ac:dyDescent="0.3">
      <c r="A2470" s="2">
        <v>45953</v>
      </c>
      <c r="B2470" s="36">
        <v>643.21569999999997</v>
      </c>
      <c r="C2470" s="36">
        <v>643.21569999999997</v>
      </c>
      <c r="D2470" s="36">
        <v>643.21569999999997</v>
      </c>
      <c r="E2470" s="36">
        <v>643.21569999999997</v>
      </c>
    </row>
    <row r="2471" spans="1:5" x14ac:dyDescent="0.3">
      <c r="A2471" s="1">
        <v>45954</v>
      </c>
      <c r="B2471" s="37">
        <v>643.64710000000002</v>
      </c>
      <c r="C2471" s="37">
        <v>643.64710000000002</v>
      </c>
      <c r="D2471" s="37">
        <v>643.64710000000002</v>
      </c>
      <c r="E2471" s="37">
        <v>643.64710000000002</v>
      </c>
    </row>
    <row r="2472" spans="1:5" x14ac:dyDescent="0.3">
      <c r="A2472" s="2">
        <v>45955</v>
      </c>
      <c r="B2472" s="36">
        <v>644.07870000000003</v>
      </c>
      <c r="C2472" s="36">
        <v>644.07870000000003</v>
      </c>
      <c r="D2472" s="36">
        <v>644.07870000000003</v>
      </c>
      <c r="E2472" s="36">
        <v>644.07870000000003</v>
      </c>
    </row>
    <row r="2473" spans="1:5" x14ac:dyDescent="0.3">
      <c r="A2473" s="1">
        <v>45956</v>
      </c>
      <c r="B2473" s="37">
        <v>644.51059999999995</v>
      </c>
      <c r="C2473" s="37">
        <v>644.51059999999995</v>
      </c>
      <c r="D2473" s="37">
        <v>644.51059999999995</v>
      </c>
      <c r="E2473" s="37">
        <v>644.51059999999995</v>
      </c>
    </row>
    <row r="2474" spans="1:5" x14ac:dyDescent="0.3">
      <c r="A2474" s="2">
        <v>45957</v>
      </c>
      <c r="B2474" s="36">
        <v>644.94290000000001</v>
      </c>
      <c r="C2474" s="36">
        <v>644.94290000000001</v>
      </c>
      <c r="D2474" s="36">
        <v>644.94290000000001</v>
      </c>
      <c r="E2474" s="36">
        <v>644.94290000000001</v>
      </c>
    </row>
    <row r="2475" spans="1:5" x14ac:dyDescent="0.3">
      <c r="A2475" s="1">
        <v>45958</v>
      </c>
      <c r="B2475" s="37">
        <v>645.37540000000001</v>
      </c>
      <c r="C2475" s="37">
        <v>645.37540000000001</v>
      </c>
      <c r="D2475" s="37">
        <v>645.37540000000001</v>
      </c>
      <c r="E2475" s="37">
        <v>645.37540000000001</v>
      </c>
    </row>
    <row r="2476" spans="1:5" x14ac:dyDescent="0.3">
      <c r="A2476" s="2">
        <v>45959</v>
      </c>
      <c r="B2476" s="36">
        <v>645.80820000000006</v>
      </c>
      <c r="C2476" s="36">
        <v>645.80820000000006</v>
      </c>
      <c r="D2476" s="36">
        <v>645.80820000000006</v>
      </c>
      <c r="E2476" s="36">
        <v>645.80820000000006</v>
      </c>
    </row>
    <row r="2477" spans="1:5" x14ac:dyDescent="0.3">
      <c r="A2477" s="1">
        <v>45960</v>
      </c>
      <c r="B2477" s="37">
        <v>646.24130000000002</v>
      </c>
      <c r="C2477" s="37">
        <v>646.24130000000002</v>
      </c>
      <c r="D2477" s="37">
        <v>646.24130000000002</v>
      </c>
      <c r="E2477" s="37">
        <v>646.24130000000002</v>
      </c>
    </row>
    <row r="2478" spans="1:5" x14ac:dyDescent="0.3">
      <c r="A2478" s="2">
        <v>45961</v>
      </c>
      <c r="B2478" s="36">
        <v>646.67470000000003</v>
      </c>
      <c r="C2478" s="36">
        <v>646.67470000000003</v>
      </c>
      <c r="D2478" s="36">
        <v>646.67470000000003</v>
      </c>
      <c r="E2478" s="36">
        <v>646.67470000000003</v>
      </c>
    </row>
    <row r="2479" spans="1:5" x14ac:dyDescent="0.3">
      <c r="A2479" s="1">
        <v>45962</v>
      </c>
      <c r="B2479" s="37">
        <v>647.10839999999996</v>
      </c>
      <c r="C2479" s="37">
        <v>647.10839999999996</v>
      </c>
      <c r="D2479" s="37">
        <v>647.10839999999996</v>
      </c>
      <c r="E2479" s="37">
        <v>647.10839999999996</v>
      </c>
    </row>
    <row r="2480" spans="1:5" x14ac:dyDescent="0.3">
      <c r="A2480" s="2">
        <v>45963</v>
      </c>
      <c r="B2480" s="36">
        <v>647.54229999999995</v>
      </c>
      <c r="C2480" s="36">
        <v>647.54229999999995</v>
      </c>
      <c r="D2480" s="36">
        <v>647.54229999999995</v>
      </c>
      <c r="E2480" s="36">
        <v>647.54229999999995</v>
      </c>
    </row>
    <row r="2481" spans="1:5" x14ac:dyDescent="0.3">
      <c r="A2481" s="1">
        <v>45964</v>
      </c>
      <c r="B2481" s="37">
        <v>647.97659999999996</v>
      </c>
      <c r="C2481" s="37">
        <v>647.97659999999996</v>
      </c>
      <c r="D2481" s="37">
        <v>647.97659999999996</v>
      </c>
      <c r="E2481" s="37">
        <v>647.97659999999996</v>
      </c>
    </row>
    <row r="2482" spans="1:5" x14ac:dyDescent="0.3">
      <c r="A2482" s="2">
        <v>45965</v>
      </c>
      <c r="B2482" s="36">
        <v>648.41110000000003</v>
      </c>
      <c r="C2482" s="36">
        <v>648.41110000000003</v>
      </c>
      <c r="D2482" s="36">
        <v>648.41110000000003</v>
      </c>
      <c r="E2482" s="36">
        <v>648.41110000000003</v>
      </c>
    </row>
    <row r="2483" spans="1:5" x14ac:dyDescent="0.3">
      <c r="A2483" s="1">
        <v>45966</v>
      </c>
      <c r="B2483" s="37">
        <v>648.846</v>
      </c>
      <c r="C2483" s="37">
        <v>648.846</v>
      </c>
      <c r="D2483" s="37">
        <v>648.846</v>
      </c>
      <c r="E2483" s="37">
        <v>648.846</v>
      </c>
    </row>
    <row r="2484" spans="1:5" x14ac:dyDescent="0.3">
      <c r="A2484" s="2">
        <v>45967</v>
      </c>
      <c r="B2484" s="36">
        <v>649.28110000000004</v>
      </c>
      <c r="C2484" s="36">
        <v>649.28110000000004</v>
      </c>
      <c r="D2484" s="36">
        <v>649.28110000000004</v>
      </c>
      <c r="E2484" s="36">
        <v>649.28110000000004</v>
      </c>
    </row>
    <row r="2485" spans="1:5" x14ac:dyDescent="0.3">
      <c r="A2485" s="1">
        <v>45968</v>
      </c>
      <c r="B2485" s="37">
        <v>649.7165</v>
      </c>
      <c r="C2485" s="37">
        <v>649.7165</v>
      </c>
      <c r="D2485" s="37">
        <v>649.7165</v>
      </c>
      <c r="E2485" s="37">
        <v>649.7165</v>
      </c>
    </row>
    <row r="2486" spans="1:5" x14ac:dyDescent="0.3">
      <c r="A2486" s="2">
        <v>45969</v>
      </c>
      <c r="B2486" s="36">
        <v>650.15229999999997</v>
      </c>
      <c r="C2486" s="36">
        <v>650.15229999999997</v>
      </c>
      <c r="D2486" s="36">
        <v>650.15229999999997</v>
      </c>
      <c r="E2486" s="36">
        <v>650.15229999999997</v>
      </c>
    </row>
    <row r="2487" spans="1:5" x14ac:dyDescent="0.3">
      <c r="A2487" s="1">
        <v>45970</v>
      </c>
      <c r="B2487" s="37">
        <v>650.5883</v>
      </c>
      <c r="C2487" s="37">
        <v>650.5883</v>
      </c>
      <c r="D2487" s="37">
        <v>650.5883</v>
      </c>
      <c r="E2487" s="37">
        <v>650.5883</v>
      </c>
    </row>
    <row r="2488" spans="1:5" x14ac:dyDescent="0.3">
      <c r="A2488" s="2">
        <v>45971</v>
      </c>
      <c r="B2488" s="36">
        <v>651.02459999999996</v>
      </c>
      <c r="C2488" s="36">
        <v>651.02459999999996</v>
      </c>
      <c r="D2488" s="36">
        <v>651.02459999999996</v>
      </c>
      <c r="E2488" s="36">
        <v>651.02459999999996</v>
      </c>
    </row>
    <row r="2489" spans="1:5" x14ac:dyDescent="0.3">
      <c r="A2489" s="1">
        <v>45972</v>
      </c>
      <c r="B2489" s="37">
        <v>651.46119999999996</v>
      </c>
      <c r="C2489" s="37">
        <v>651.46119999999996</v>
      </c>
      <c r="D2489" s="37">
        <v>651.46119999999996</v>
      </c>
      <c r="E2489" s="37">
        <v>651.46119999999996</v>
      </c>
    </row>
    <row r="2490" spans="1:5" x14ac:dyDescent="0.3">
      <c r="A2490" s="2">
        <v>45973</v>
      </c>
      <c r="B2490" s="36">
        <v>651.8981</v>
      </c>
      <c r="C2490" s="36">
        <v>651.8981</v>
      </c>
      <c r="D2490" s="36">
        <v>651.8981</v>
      </c>
      <c r="E2490" s="36">
        <v>651.8981</v>
      </c>
    </row>
    <row r="2491" spans="1:5" x14ac:dyDescent="0.3">
      <c r="A2491" s="1">
        <v>45974</v>
      </c>
      <c r="B2491" s="37">
        <v>652.33519999999999</v>
      </c>
      <c r="C2491" s="37">
        <v>652.33519999999999</v>
      </c>
      <c r="D2491" s="37">
        <v>652.33519999999999</v>
      </c>
      <c r="E2491" s="37">
        <v>652.33519999999999</v>
      </c>
    </row>
    <row r="2492" spans="1:5" x14ac:dyDescent="0.3">
      <c r="A2492" s="2">
        <v>45975</v>
      </c>
      <c r="B2492" s="36">
        <v>652.77269999999999</v>
      </c>
      <c r="C2492" s="36">
        <v>652.77269999999999</v>
      </c>
      <c r="D2492" s="36">
        <v>652.77269999999999</v>
      </c>
      <c r="E2492" s="36">
        <v>652.77269999999999</v>
      </c>
    </row>
    <row r="2493" spans="1:5" x14ac:dyDescent="0.3">
      <c r="A2493" s="1">
        <v>45976</v>
      </c>
      <c r="B2493" s="37">
        <v>653.21050000000002</v>
      </c>
      <c r="C2493" s="37">
        <v>653.21050000000002</v>
      </c>
      <c r="D2493" s="37">
        <v>653.21050000000002</v>
      </c>
      <c r="E2493" s="37">
        <v>653.21050000000002</v>
      </c>
    </row>
    <row r="2494" spans="1:5" x14ac:dyDescent="0.3">
      <c r="A2494" s="2">
        <v>45977</v>
      </c>
      <c r="B2494" s="36">
        <v>653.70579999999995</v>
      </c>
      <c r="C2494" s="36">
        <v>653.70579999999995</v>
      </c>
      <c r="D2494" s="36">
        <v>653.70579999999995</v>
      </c>
      <c r="E2494" s="36">
        <v>653.70579999999995</v>
      </c>
    </row>
    <row r="2495" spans="1:5" x14ac:dyDescent="0.3">
      <c r="A2495" s="1">
        <v>45978</v>
      </c>
      <c r="B2495" s="37">
        <v>654.20150000000001</v>
      </c>
      <c r="C2495" s="37">
        <v>654.20150000000001</v>
      </c>
      <c r="D2495" s="37">
        <v>654.20150000000001</v>
      </c>
      <c r="E2495" s="37">
        <v>654.20150000000001</v>
      </c>
    </row>
    <row r="2496" spans="1:5" x14ac:dyDescent="0.3">
      <c r="A2496" s="2">
        <v>45979</v>
      </c>
      <c r="B2496" s="36">
        <v>654.69749999999999</v>
      </c>
      <c r="C2496" s="36">
        <v>654.69749999999999</v>
      </c>
      <c r="D2496" s="36">
        <v>654.69749999999999</v>
      </c>
      <c r="E2496" s="36">
        <v>654.69749999999999</v>
      </c>
    </row>
    <row r="2497" spans="1:5" x14ac:dyDescent="0.3">
      <c r="A2497" s="1">
        <v>45980</v>
      </c>
      <c r="B2497" s="37">
        <v>655.19399999999996</v>
      </c>
      <c r="C2497" s="37">
        <v>655.19399999999996</v>
      </c>
      <c r="D2497" s="37">
        <v>655.19399999999996</v>
      </c>
      <c r="E2497" s="37">
        <v>655.19399999999996</v>
      </c>
    </row>
    <row r="2498" spans="1:5" x14ac:dyDescent="0.3">
      <c r="A2498" s="2">
        <v>45981</v>
      </c>
      <c r="B2498" s="36">
        <v>655.69079999999997</v>
      </c>
      <c r="C2498" s="36">
        <v>655.69079999999997</v>
      </c>
      <c r="D2498" s="36">
        <v>655.69079999999997</v>
      </c>
      <c r="E2498" s="36">
        <v>655.69079999999997</v>
      </c>
    </row>
    <row r="2499" spans="1:5" x14ac:dyDescent="0.3">
      <c r="A2499" s="1">
        <v>45982</v>
      </c>
      <c r="B2499" s="37">
        <v>656.18799999999999</v>
      </c>
      <c r="C2499" s="37">
        <v>656.18799999999999</v>
      </c>
      <c r="D2499" s="37">
        <v>656.18799999999999</v>
      </c>
      <c r="E2499" s="37">
        <v>656.18799999999999</v>
      </c>
    </row>
    <row r="2500" spans="1:5" x14ac:dyDescent="0.3">
      <c r="A2500" s="2">
        <v>45983</v>
      </c>
      <c r="B2500" s="36">
        <v>656.68560000000002</v>
      </c>
      <c r="C2500" s="36">
        <v>656.68560000000002</v>
      </c>
      <c r="D2500" s="36">
        <v>656.68560000000002</v>
      </c>
      <c r="E2500" s="36">
        <v>656.68560000000002</v>
      </c>
    </row>
    <row r="2501" spans="1:5" x14ac:dyDescent="0.3">
      <c r="A2501" s="1">
        <v>45984</v>
      </c>
      <c r="B2501" s="37">
        <v>657.18349999999998</v>
      </c>
      <c r="C2501" s="37">
        <v>657.18349999999998</v>
      </c>
      <c r="D2501" s="37">
        <v>657.18349999999998</v>
      </c>
      <c r="E2501" s="37">
        <v>657.18349999999998</v>
      </c>
    </row>
    <row r="2502" spans="1:5" x14ac:dyDescent="0.3">
      <c r="A2502" s="2">
        <v>45985</v>
      </c>
      <c r="B2502" s="36">
        <v>657.68179999999995</v>
      </c>
      <c r="C2502" s="36">
        <v>657.68179999999995</v>
      </c>
      <c r="D2502" s="36">
        <v>657.68179999999995</v>
      </c>
      <c r="E2502" s="36">
        <v>657.68179999999995</v>
      </c>
    </row>
    <row r="2503" spans="1:5" x14ac:dyDescent="0.3">
      <c r="A2503" s="1">
        <v>45986</v>
      </c>
      <c r="B2503" s="37">
        <v>658.18050000000005</v>
      </c>
      <c r="C2503" s="37">
        <v>658.18050000000005</v>
      </c>
      <c r="D2503" s="37">
        <v>658.18050000000005</v>
      </c>
      <c r="E2503" s="37">
        <v>658.18050000000005</v>
      </c>
    </row>
    <row r="2504" spans="1:5" x14ac:dyDescent="0.3">
      <c r="A2504" s="2">
        <v>45987</v>
      </c>
      <c r="B2504" s="36">
        <v>658.67960000000005</v>
      </c>
      <c r="C2504" s="36">
        <v>658.67960000000005</v>
      </c>
      <c r="D2504" s="36">
        <v>658.67960000000005</v>
      </c>
      <c r="E2504" s="36">
        <v>658.67960000000005</v>
      </c>
    </row>
    <row r="2505" spans="1:5" x14ac:dyDescent="0.3">
      <c r="A2505" s="1">
        <v>45988</v>
      </c>
      <c r="B2505" s="37">
        <v>659.17909999999995</v>
      </c>
      <c r="C2505" s="37">
        <v>659.17909999999995</v>
      </c>
      <c r="D2505" s="37">
        <v>659.17909999999995</v>
      </c>
      <c r="E2505" s="37">
        <v>659.17909999999995</v>
      </c>
    </row>
    <row r="2506" spans="1:5" x14ac:dyDescent="0.3">
      <c r="A2506" s="2">
        <v>45989</v>
      </c>
      <c r="B2506" s="36">
        <v>659.6789</v>
      </c>
      <c r="C2506" s="36">
        <v>659.6789</v>
      </c>
      <c r="D2506" s="36">
        <v>659.6789</v>
      </c>
      <c r="E2506" s="36">
        <v>659.6789</v>
      </c>
    </row>
    <row r="2507" spans="1:5" x14ac:dyDescent="0.3">
      <c r="A2507" s="1">
        <v>45990</v>
      </c>
      <c r="B2507" s="37">
        <v>660.17909999999995</v>
      </c>
      <c r="C2507" s="37">
        <v>660.17909999999995</v>
      </c>
      <c r="D2507" s="37">
        <v>660.17909999999995</v>
      </c>
      <c r="E2507" s="37">
        <v>660.17909999999995</v>
      </c>
    </row>
    <row r="2508" spans="1:5" x14ac:dyDescent="0.3">
      <c r="A2508" s="2">
        <v>45991</v>
      </c>
      <c r="B2508" s="36">
        <v>660.67970000000003</v>
      </c>
      <c r="C2508" s="36">
        <v>660.67970000000003</v>
      </c>
      <c r="D2508" s="36">
        <v>660.67970000000003</v>
      </c>
      <c r="E2508" s="36">
        <v>660.67970000000003</v>
      </c>
    </row>
    <row r="2509" spans="1:5" x14ac:dyDescent="0.3">
      <c r="A2509" s="1">
        <v>45992</v>
      </c>
      <c r="B2509" s="37">
        <v>661.1807</v>
      </c>
      <c r="C2509" s="37">
        <v>661.1807</v>
      </c>
      <c r="D2509" s="37">
        <v>661.1807</v>
      </c>
      <c r="E2509" s="37">
        <v>661.1807</v>
      </c>
    </row>
    <row r="2510" spans="1:5" x14ac:dyDescent="0.3">
      <c r="A2510" s="2">
        <v>45993</v>
      </c>
      <c r="B2510" s="36">
        <v>661.68200000000002</v>
      </c>
      <c r="C2510" s="36">
        <v>661.68200000000002</v>
      </c>
      <c r="D2510" s="36">
        <v>661.68200000000002</v>
      </c>
      <c r="E2510" s="36">
        <v>661.68200000000002</v>
      </c>
    </row>
    <row r="2511" spans="1:5" x14ac:dyDescent="0.3">
      <c r="A2511" s="1">
        <v>45994</v>
      </c>
      <c r="B2511" s="37">
        <v>662.18380000000002</v>
      </c>
      <c r="C2511" s="37">
        <v>662.18380000000002</v>
      </c>
      <c r="D2511" s="37">
        <v>662.18380000000002</v>
      </c>
      <c r="E2511" s="37">
        <v>662.18380000000002</v>
      </c>
    </row>
    <row r="2512" spans="1:5" x14ac:dyDescent="0.3">
      <c r="A2512" s="2">
        <v>45995</v>
      </c>
      <c r="B2512" s="36">
        <v>662.68589999999995</v>
      </c>
      <c r="C2512" s="36">
        <v>662.68589999999995</v>
      </c>
      <c r="D2512" s="36">
        <v>662.68589999999995</v>
      </c>
      <c r="E2512" s="36">
        <v>662.68589999999995</v>
      </c>
    </row>
    <row r="2513" spans="1:5" x14ac:dyDescent="0.3">
      <c r="A2513" s="1">
        <v>45996</v>
      </c>
      <c r="B2513" s="37">
        <v>663.1884</v>
      </c>
      <c r="C2513" s="37">
        <v>663.1884</v>
      </c>
      <c r="D2513" s="37">
        <v>663.1884</v>
      </c>
      <c r="E2513" s="37">
        <v>663.1884</v>
      </c>
    </row>
    <row r="2514" spans="1:5" x14ac:dyDescent="0.3">
      <c r="A2514" s="2">
        <v>45997</v>
      </c>
      <c r="B2514" s="36">
        <v>663.69129999999996</v>
      </c>
      <c r="C2514" s="36">
        <v>663.69129999999996</v>
      </c>
      <c r="D2514" s="36">
        <v>663.69129999999996</v>
      </c>
      <c r="E2514" s="36">
        <v>663.69129999999996</v>
      </c>
    </row>
    <row r="2515" spans="1:5" x14ac:dyDescent="0.3">
      <c r="A2515" s="1">
        <v>45998</v>
      </c>
      <c r="B2515" s="37">
        <v>664.19449999999995</v>
      </c>
      <c r="C2515" s="37">
        <v>664.19449999999995</v>
      </c>
      <c r="D2515" s="37">
        <v>664.19449999999995</v>
      </c>
      <c r="E2515" s="37">
        <v>664.19449999999995</v>
      </c>
    </row>
    <row r="2516" spans="1:5" x14ac:dyDescent="0.3">
      <c r="A2516" s="2">
        <v>45999</v>
      </c>
      <c r="B2516" s="36">
        <v>664.69809999999995</v>
      </c>
      <c r="C2516" s="36">
        <v>664.69809999999995</v>
      </c>
      <c r="D2516" s="36">
        <v>664.69809999999995</v>
      </c>
      <c r="E2516" s="36">
        <v>664.69809999999995</v>
      </c>
    </row>
    <row r="2517" spans="1:5" x14ac:dyDescent="0.3">
      <c r="A2517" s="1">
        <v>46000</v>
      </c>
      <c r="B2517" s="37">
        <v>665.20219999999995</v>
      </c>
      <c r="C2517" s="37">
        <v>665.20219999999995</v>
      </c>
      <c r="D2517" s="37">
        <v>665.20219999999995</v>
      </c>
      <c r="E2517" s="37">
        <v>665.20219999999995</v>
      </c>
    </row>
    <row r="2518" spans="1:5" x14ac:dyDescent="0.3">
      <c r="A2518" s="2">
        <v>46001</v>
      </c>
      <c r="B2518" s="36">
        <v>665.70659999999998</v>
      </c>
      <c r="C2518" s="36">
        <v>665.70659999999998</v>
      </c>
      <c r="D2518" s="36">
        <v>665.70659999999998</v>
      </c>
      <c r="E2518" s="36">
        <v>665.70659999999998</v>
      </c>
    </row>
    <row r="2519" spans="1:5" x14ac:dyDescent="0.3">
      <c r="A2519" s="1">
        <v>46002</v>
      </c>
      <c r="B2519" s="37">
        <v>666.21140000000003</v>
      </c>
      <c r="C2519" s="37">
        <v>666.21140000000003</v>
      </c>
      <c r="D2519" s="37">
        <v>666.21140000000003</v>
      </c>
      <c r="E2519" s="37">
        <v>666.21140000000003</v>
      </c>
    </row>
    <row r="2520" spans="1:5" x14ac:dyDescent="0.3">
      <c r="A2520" s="2">
        <v>46003</v>
      </c>
      <c r="B2520" s="36">
        <v>666.7165</v>
      </c>
      <c r="C2520" s="36">
        <v>666.7165</v>
      </c>
      <c r="D2520" s="36">
        <v>666.7165</v>
      </c>
      <c r="E2520" s="36">
        <v>666.7165</v>
      </c>
    </row>
    <row r="2521" spans="1:5" x14ac:dyDescent="0.3">
      <c r="A2521" s="1">
        <v>46004</v>
      </c>
      <c r="B2521" s="37">
        <v>667.22209999999995</v>
      </c>
      <c r="C2521" s="37">
        <v>667.22209999999995</v>
      </c>
      <c r="D2521" s="37">
        <v>667.22209999999995</v>
      </c>
      <c r="E2521" s="37">
        <v>667.22209999999995</v>
      </c>
    </row>
    <row r="2522" spans="1:5" x14ac:dyDescent="0.3">
      <c r="A2522" s="2">
        <v>46005</v>
      </c>
      <c r="B2522" s="36">
        <v>667.72799999999995</v>
      </c>
      <c r="C2522" s="36">
        <v>667.72799999999995</v>
      </c>
      <c r="D2522" s="36">
        <v>667.72799999999995</v>
      </c>
      <c r="E2522" s="36">
        <v>667.72799999999995</v>
      </c>
    </row>
    <row r="2523" spans="1:5" x14ac:dyDescent="0.3">
      <c r="A2523" s="1">
        <v>46006</v>
      </c>
      <c r="B2523" s="37">
        <v>668.23429999999996</v>
      </c>
      <c r="C2523" s="37">
        <v>668.23429999999996</v>
      </c>
      <c r="D2523" s="37">
        <v>668.23429999999996</v>
      </c>
      <c r="E2523" s="37">
        <v>668.23429999999996</v>
      </c>
    </row>
    <row r="2524" spans="1:5" x14ac:dyDescent="0.3">
      <c r="A2524" s="2">
        <v>46007</v>
      </c>
      <c r="B2524" s="36">
        <v>668.76679999999999</v>
      </c>
      <c r="C2524" s="36">
        <v>668.76679999999999</v>
      </c>
      <c r="D2524" s="36">
        <v>668.76679999999999</v>
      </c>
      <c r="E2524" s="36">
        <v>668.76679999999999</v>
      </c>
    </row>
    <row r="2525" spans="1:5" x14ac:dyDescent="0.3">
      <c r="A2525" s="1">
        <v>46008</v>
      </c>
      <c r="B2525" s="37">
        <v>669.29970000000003</v>
      </c>
      <c r="C2525" s="37">
        <v>669.29970000000003</v>
      </c>
      <c r="D2525" s="37">
        <v>669.29970000000003</v>
      </c>
      <c r="E2525" s="37">
        <v>669.29970000000003</v>
      </c>
    </row>
    <row r="2526" spans="1:5" x14ac:dyDescent="0.3">
      <c r="A2526" s="2">
        <v>46009</v>
      </c>
      <c r="B2526" s="36">
        <v>669.83309999999994</v>
      </c>
      <c r="C2526" s="36">
        <v>669.83309999999994</v>
      </c>
      <c r="D2526" s="36">
        <v>669.83309999999994</v>
      </c>
      <c r="E2526" s="36">
        <v>669.83309999999994</v>
      </c>
    </row>
    <row r="2527" spans="1:5" x14ac:dyDescent="0.3">
      <c r="A2527" s="1">
        <v>46010</v>
      </c>
      <c r="B2527" s="37">
        <v>670.36680000000001</v>
      </c>
      <c r="C2527" s="37">
        <v>670.36680000000001</v>
      </c>
      <c r="D2527" s="37">
        <v>670.36680000000001</v>
      </c>
      <c r="E2527" s="37">
        <v>670.36680000000001</v>
      </c>
    </row>
    <row r="2528" spans="1:5" x14ac:dyDescent="0.3">
      <c r="A2528" s="2">
        <v>46011</v>
      </c>
      <c r="B2528" s="36">
        <v>670.90099999999995</v>
      </c>
      <c r="C2528" s="36">
        <v>670.90099999999995</v>
      </c>
      <c r="D2528" s="36">
        <v>670.90099999999995</v>
      </c>
      <c r="E2528" s="36">
        <v>670.90099999999995</v>
      </c>
    </row>
    <row r="2529" spans="1:5" x14ac:dyDescent="0.3">
      <c r="A2529" s="1">
        <v>46012</v>
      </c>
      <c r="B2529" s="37">
        <v>671.43560000000002</v>
      </c>
      <c r="C2529" s="37">
        <v>671.43560000000002</v>
      </c>
      <c r="D2529" s="37">
        <v>671.43560000000002</v>
      </c>
      <c r="E2529" s="37">
        <v>671.43560000000002</v>
      </c>
    </row>
    <row r="2530" spans="1:5" x14ac:dyDescent="0.3">
      <c r="A2530" s="2">
        <v>46013</v>
      </c>
      <c r="B2530" s="36">
        <v>671.97059999999999</v>
      </c>
      <c r="C2530" s="36">
        <v>671.97059999999999</v>
      </c>
      <c r="D2530" s="36">
        <v>671.97059999999999</v>
      </c>
      <c r="E2530" s="36">
        <v>671.97059999999999</v>
      </c>
    </row>
    <row r="2531" spans="1:5" x14ac:dyDescent="0.3">
      <c r="A2531" s="1">
        <v>46014</v>
      </c>
      <c r="B2531" s="37">
        <v>672.50609999999995</v>
      </c>
      <c r="C2531" s="37">
        <v>672.50609999999995</v>
      </c>
      <c r="D2531" s="37">
        <v>672.50609999999995</v>
      </c>
      <c r="E2531" s="37">
        <v>672.50609999999995</v>
      </c>
    </row>
    <row r="2532" spans="1:5" x14ac:dyDescent="0.3">
      <c r="A2532" s="2">
        <v>46015</v>
      </c>
      <c r="B2532" s="36">
        <v>673.04200000000003</v>
      </c>
      <c r="C2532" s="36">
        <v>673.04200000000003</v>
      </c>
      <c r="D2532" s="36">
        <v>673.04200000000003</v>
      </c>
      <c r="E2532" s="36">
        <v>673.04200000000003</v>
      </c>
    </row>
    <row r="2533" spans="1:5" x14ac:dyDescent="0.3">
      <c r="A2533" s="1">
        <v>46016</v>
      </c>
      <c r="B2533" s="37">
        <v>673.57830000000001</v>
      </c>
      <c r="C2533" s="37">
        <v>673.57830000000001</v>
      </c>
      <c r="D2533" s="37">
        <v>673.57830000000001</v>
      </c>
      <c r="E2533" s="37">
        <v>673.57830000000001</v>
      </c>
    </row>
    <row r="2534" spans="1:5" x14ac:dyDescent="0.3">
      <c r="A2534" s="2">
        <v>46017</v>
      </c>
      <c r="B2534" s="36">
        <v>674.11509999999998</v>
      </c>
      <c r="C2534" s="36">
        <v>674.11509999999998</v>
      </c>
      <c r="D2534" s="36">
        <v>674.11509999999998</v>
      </c>
      <c r="E2534" s="36">
        <v>674.11509999999998</v>
      </c>
    </row>
    <row r="2535" spans="1:5" x14ac:dyDescent="0.3">
      <c r="A2535" s="1">
        <v>46018</v>
      </c>
      <c r="B2535" s="37">
        <v>674.65219999999999</v>
      </c>
      <c r="C2535" s="37">
        <v>674.65219999999999</v>
      </c>
      <c r="D2535" s="37">
        <v>674.65219999999999</v>
      </c>
      <c r="E2535" s="37">
        <v>674.65219999999999</v>
      </c>
    </row>
    <row r="2536" spans="1:5" x14ac:dyDescent="0.3">
      <c r="A2536" s="2">
        <v>46019</v>
      </c>
      <c r="B2536" s="36">
        <v>675.18979999999999</v>
      </c>
      <c r="C2536" s="36">
        <v>675.18979999999999</v>
      </c>
      <c r="D2536" s="36">
        <v>675.18979999999999</v>
      </c>
      <c r="E2536" s="36">
        <v>675.18979999999999</v>
      </c>
    </row>
    <row r="2537" spans="1:5" x14ac:dyDescent="0.3">
      <c r="A2537" s="1">
        <v>46020</v>
      </c>
      <c r="B2537" s="37">
        <v>675.72789999999998</v>
      </c>
      <c r="C2537" s="37">
        <v>675.72789999999998</v>
      </c>
      <c r="D2537" s="37">
        <v>675.72789999999998</v>
      </c>
      <c r="E2537" s="37">
        <v>675.72789999999998</v>
      </c>
    </row>
    <row r="2538" spans="1:5" x14ac:dyDescent="0.3">
      <c r="A2538" s="2">
        <v>46021</v>
      </c>
      <c r="B2538" s="36">
        <v>676.2663</v>
      </c>
      <c r="C2538" s="36">
        <v>676.2663</v>
      </c>
      <c r="D2538" s="36">
        <v>676.2663</v>
      </c>
      <c r="E2538" s="36">
        <v>676.2663</v>
      </c>
    </row>
    <row r="2539" spans="1:5" x14ac:dyDescent="0.3">
      <c r="A2539" s="1">
        <v>46022</v>
      </c>
      <c r="B2539" s="37">
        <v>676.80520000000001</v>
      </c>
      <c r="C2539" s="37">
        <v>676.80520000000001</v>
      </c>
      <c r="D2539" s="37">
        <v>676.80520000000001</v>
      </c>
      <c r="E2539" s="37">
        <v>676.80520000000001</v>
      </c>
    </row>
    <row r="2540" spans="1:5" x14ac:dyDescent="0.3">
      <c r="A2540" s="2">
        <v>46023</v>
      </c>
      <c r="B2540" s="36">
        <v>677.34450000000004</v>
      </c>
      <c r="C2540" s="36">
        <v>677.34450000000004</v>
      </c>
      <c r="D2540" s="36">
        <v>677.34450000000004</v>
      </c>
      <c r="E2540" s="36">
        <v>677.34450000000004</v>
      </c>
    </row>
    <row r="2541" spans="1:5" x14ac:dyDescent="0.3">
      <c r="A2541" s="1">
        <v>46024</v>
      </c>
      <c r="B2541" s="37">
        <v>677.88419999999996</v>
      </c>
      <c r="C2541" s="37">
        <v>677.88419999999996</v>
      </c>
      <c r="D2541" s="37">
        <v>677.88419999999996</v>
      </c>
      <c r="E2541" s="37">
        <v>677.88419999999996</v>
      </c>
    </row>
    <row r="2542" spans="1:5" x14ac:dyDescent="0.3">
      <c r="A2542" s="2">
        <v>46025</v>
      </c>
      <c r="B2542" s="36">
        <v>678.42439999999999</v>
      </c>
      <c r="C2542" s="36">
        <v>678.42439999999999</v>
      </c>
      <c r="D2542" s="36">
        <v>678.42439999999999</v>
      </c>
      <c r="E2542" s="36">
        <v>678.42439999999999</v>
      </c>
    </row>
    <row r="2543" spans="1:5" x14ac:dyDescent="0.3">
      <c r="A2543" s="1">
        <v>46026</v>
      </c>
      <c r="B2543" s="37">
        <v>678.96500000000003</v>
      </c>
      <c r="C2543" s="37">
        <v>678.96500000000003</v>
      </c>
      <c r="D2543" s="37">
        <v>678.96500000000003</v>
      </c>
      <c r="E2543" s="37">
        <v>678.96500000000003</v>
      </c>
    </row>
    <row r="2544" spans="1:5" x14ac:dyDescent="0.3">
      <c r="A2544" s="2">
        <v>46027</v>
      </c>
      <c r="B2544" s="36">
        <v>679.50609999999995</v>
      </c>
      <c r="C2544" s="36">
        <v>679.50609999999995</v>
      </c>
      <c r="D2544" s="36">
        <v>679.50609999999995</v>
      </c>
      <c r="E2544" s="36">
        <v>679.50609999999995</v>
      </c>
    </row>
    <row r="2545" spans="1:5" x14ac:dyDescent="0.3">
      <c r="A2545" s="1">
        <v>46028</v>
      </c>
      <c r="B2545" s="37">
        <v>680.04750000000001</v>
      </c>
      <c r="C2545" s="37">
        <v>680.04750000000001</v>
      </c>
      <c r="D2545" s="37">
        <v>680.04750000000001</v>
      </c>
      <c r="E2545" s="37">
        <v>680.04750000000001</v>
      </c>
    </row>
    <row r="2546" spans="1:5" x14ac:dyDescent="0.3">
      <c r="A2546" s="2">
        <v>46029</v>
      </c>
      <c r="B2546" s="36">
        <v>680.58939999999996</v>
      </c>
      <c r="C2546" s="36">
        <v>680.58939999999996</v>
      </c>
      <c r="D2546" s="36">
        <v>680.58939999999996</v>
      </c>
      <c r="E2546" s="36">
        <v>680.58939999999996</v>
      </c>
    </row>
    <row r="2547" spans="1:5" x14ac:dyDescent="0.3">
      <c r="A2547" s="1">
        <v>46030</v>
      </c>
      <c r="B2547" s="37">
        <v>681.1318</v>
      </c>
      <c r="C2547" s="37">
        <v>681.1318</v>
      </c>
      <c r="D2547" s="37">
        <v>681.1318</v>
      </c>
      <c r="E2547" s="37">
        <v>681.1318</v>
      </c>
    </row>
    <row r="2548" spans="1:5" x14ac:dyDescent="0.3">
      <c r="A2548" s="2">
        <v>46031</v>
      </c>
      <c r="B2548" s="36">
        <v>681.67449999999997</v>
      </c>
      <c r="C2548" s="36">
        <v>681.67449999999997</v>
      </c>
      <c r="D2548" s="36">
        <v>681.67449999999997</v>
      </c>
      <c r="E2548" s="36">
        <v>681.67449999999997</v>
      </c>
    </row>
    <row r="2549" spans="1:5" x14ac:dyDescent="0.3">
      <c r="A2549" s="1">
        <v>46032</v>
      </c>
      <c r="B2549" s="37">
        <v>682.21770000000004</v>
      </c>
      <c r="C2549" s="37">
        <v>682.21770000000004</v>
      </c>
      <c r="D2549" s="37">
        <v>682.21770000000004</v>
      </c>
      <c r="E2549" s="37">
        <v>682.21770000000004</v>
      </c>
    </row>
    <row r="2550" spans="1:5" x14ac:dyDescent="0.3">
      <c r="A2550" s="2">
        <v>46033</v>
      </c>
      <c r="B2550" s="36">
        <v>682.76130000000001</v>
      </c>
      <c r="C2550" s="36">
        <v>682.76130000000001</v>
      </c>
      <c r="D2550" s="36">
        <v>682.76130000000001</v>
      </c>
      <c r="E2550" s="36">
        <v>682.76130000000001</v>
      </c>
    </row>
    <row r="2551" spans="1:5" x14ac:dyDescent="0.3">
      <c r="A2551" s="1">
        <v>46034</v>
      </c>
      <c r="B2551" s="37">
        <v>683.30539999999996</v>
      </c>
      <c r="C2551" s="37">
        <v>683.30539999999996</v>
      </c>
      <c r="D2551" s="37">
        <v>683.30539999999996</v>
      </c>
      <c r="E2551" s="37">
        <v>683.30539999999996</v>
      </c>
    </row>
    <row r="2552" spans="1:5" x14ac:dyDescent="0.3">
      <c r="A2552" s="2">
        <v>46035</v>
      </c>
      <c r="B2552" s="36">
        <v>683.84990000000005</v>
      </c>
      <c r="C2552" s="36">
        <v>683.84990000000005</v>
      </c>
      <c r="D2552" s="36">
        <v>683.84990000000005</v>
      </c>
      <c r="E2552" s="36">
        <v>683.84990000000005</v>
      </c>
    </row>
    <row r="2553" spans="1:5" x14ac:dyDescent="0.3">
      <c r="A2553" s="1">
        <v>46036</v>
      </c>
      <c r="B2553" s="37">
        <v>684.39480000000003</v>
      </c>
      <c r="C2553" s="37">
        <v>684.39480000000003</v>
      </c>
      <c r="D2553" s="37">
        <v>684.39480000000003</v>
      </c>
      <c r="E2553" s="37">
        <v>684.39480000000003</v>
      </c>
    </row>
    <row r="2554" spans="1:5" x14ac:dyDescent="0.3">
      <c r="A2554" s="2">
        <v>46037</v>
      </c>
      <c r="B2554" s="36">
        <v>684.9402</v>
      </c>
      <c r="C2554" s="36">
        <v>684.9402</v>
      </c>
      <c r="D2554" s="36">
        <v>684.9402</v>
      </c>
      <c r="E2554" s="36">
        <v>684.9402</v>
      </c>
    </row>
    <row r="2555" spans="1:5" x14ac:dyDescent="0.3">
      <c r="A2555" s="1">
        <v>46038</v>
      </c>
      <c r="B2555" s="37">
        <v>685.55060000000003</v>
      </c>
      <c r="C2555" s="37">
        <v>685.55060000000003</v>
      </c>
      <c r="D2555" s="37">
        <v>685.55060000000003</v>
      </c>
      <c r="E2555" s="37">
        <v>685.55060000000003</v>
      </c>
    </row>
    <row r="2556" spans="1:5" x14ac:dyDescent="0.3">
      <c r="A2556" s="2">
        <v>46039</v>
      </c>
      <c r="B2556" s="36">
        <v>686.16160000000002</v>
      </c>
      <c r="C2556" s="36">
        <v>686.16160000000002</v>
      </c>
      <c r="D2556" s="36">
        <v>686.16160000000002</v>
      </c>
      <c r="E2556" s="36">
        <v>686.16160000000002</v>
      </c>
    </row>
    <row r="2557" spans="1:5" x14ac:dyDescent="0.3">
      <c r="A2557" s="1">
        <v>46040</v>
      </c>
      <c r="B2557" s="37">
        <v>686.7731</v>
      </c>
      <c r="C2557" s="37">
        <v>686.7731</v>
      </c>
      <c r="D2557" s="37">
        <v>686.7731</v>
      </c>
      <c r="E2557" s="37">
        <v>686.7731</v>
      </c>
    </row>
    <row r="2558" spans="1:5" x14ac:dyDescent="0.3">
      <c r="A2558" s="2">
        <v>46041</v>
      </c>
      <c r="B2558" s="36">
        <v>687.38520000000005</v>
      </c>
      <c r="C2558" s="36">
        <v>687.38520000000005</v>
      </c>
      <c r="D2558" s="36">
        <v>687.38520000000005</v>
      </c>
      <c r="E2558" s="36">
        <v>687.38520000000005</v>
      </c>
    </row>
    <row r="2559" spans="1:5" x14ac:dyDescent="0.3">
      <c r="A2559" s="1">
        <v>46042</v>
      </c>
      <c r="B2559" s="37">
        <v>687.99779999999998</v>
      </c>
      <c r="C2559" s="37">
        <v>687.99779999999998</v>
      </c>
      <c r="D2559" s="37">
        <v>687.99779999999998</v>
      </c>
      <c r="E2559" s="37">
        <v>687.99779999999998</v>
      </c>
    </row>
    <row r="2560" spans="1:5" x14ac:dyDescent="0.3">
      <c r="A2560" s="2">
        <v>46043</v>
      </c>
      <c r="B2560" s="36">
        <v>688.61090000000002</v>
      </c>
      <c r="C2560" s="36">
        <v>688.61090000000002</v>
      </c>
      <c r="D2560" s="36">
        <v>688.61090000000002</v>
      </c>
      <c r="E2560" s="36">
        <v>688.61090000000002</v>
      </c>
    </row>
    <row r="2561" spans="1:5" x14ac:dyDescent="0.3">
      <c r="A2561" s="1">
        <v>46044</v>
      </c>
      <c r="B2561" s="37">
        <v>689.22460000000001</v>
      </c>
      <c r="C2561" s="37">
        <v>689.22460000000001</v>
      </c>
      <c r="D2561" s="37">
        <v>689.22460000000001</v>
      </c>
      <c r="E2561" s="37">
        <v>689.22460000000001</v>
      </c>
    </row>
    <row r="2562" spans="1:5" x14ac:dyDescent="0.3">
      <c r="A2562" s="2">
        <v>46045</v>
      </c>
      <c r="B2562" s="36">
        <v>689.83879999999999</v>
      </c>
      <c r="C2562" s="36">
        <v>689.83879999999999</v>
      </c>
      <c r="D2562" s="36">
        <v>689.83879999999999</v>
      </c>
      <c r="E2562" s="36">
        <v>689.83879999999999</v>
      </c>
    </row>
    <row r="2563" spans="1:5" x14ac:dyDescent="0.3">
      <c r="A2563" s="1">
        <v>46046</v>
      </c>
      <c r="B2563" s="37">
        <v>690.45360000000005</v>
      </c>
      <c r="C2563" s="37">
        <v>690.45360000000005</v>
      </c>
      <c r="D2563" s="37">
        <v>690.45360000000005</v>
      </c>
      <c r="E2563" s="37">
        <v>690.45360000000005</v>
      </c>
    </row>
    <row r="2564" spans="1:5" x14ac:dyDescent="0.3">
      <c r="A2564" s="2">
        <v>46047</v>
      </c>
      <c r="B2564" s="36">
        <v>691.06899999999996</v>
      </c>
      <c r="C2564" s="36">
        <v>691.06899999999996</v>
      </c>
      <c r="D2564" s="36">
        <v>691.06899999999996</v>
      </c>
      <c r="E2564" s="36">
        <v>691.06899999999996</v>
      </c>
    </row>
    <row r="2565" spans="1:5" x14ac:dyDescent="0.3">
      <c r="A2565" s="1">
        <v>46048</v>
      </c>
      <c r="B2565" s="37">
        <v>691.68489999999997</v>
      </c>
      <c r="C2565" s="37">
        <v>691.68489999999997</v>
      </c>
      <c r="D2565" s="37">
        <v>691.68489999999997</v>
      </c>
      <c r="E2565" s="37">
        <v>691.68489999999997</v>
      </c>
    </row>
    <row r="2566" spans="1:5" x14ac:dyDescent="0.3">
      <c r="A2566" s="2">
        <v>46049</v>
      </c>
      <c r="B2566" s="36">
        <v>692.30129999999997</v>
      </c>
      <c r="C2566" s="36">
        <v>692.30129999999997</v>
      </c>
      <c r="D2566" s="36">
        <v>692.30129999999997</v>
      </c>
      <c r="E2566" s="36">
        <v>692.30129999999997</v>
      </c>
    </row>
    <row r="2567" spans="1:5" x14ac:dyDescent="0.3">
      <c r="A2567" s="1">
        <v>46050</v>
      </c>
      <c r="B2567" s="37">
        <v>692.91830000000004</v>
      </c>
      <c r="C2567" s="37">
        <v>692.91830000000004</v>
      </c>
      <c r="D2567" s="37">
        <v>692.91830000000004</v>
      </c>
      <c r="E2567" s="37">
        <v>692.91830000000004</v>
      </c>
    </row>
    <row r="2568" spans="1:5" x14ac:dyDescent="0.3">
      <c r="A2568" s="2">
        <v>46051</v>
      </c>
      <c r="B2568" s="36">
        <v>693.53579999999999</v>
      </c>
      <c r="C2568" s="36">
        <v>693.53579999999999</v>
      </c>
      <c r="D2568" s="36">
        <v>693.53579999999999</v>
      </c>
      <c r="E2568" s="36">
        <v>693.53579999999999</v>
      </c>
    </row>
    <row r="2569" spans="1:5" x14ac:dyDescent="0.3">
      <c r="A2569" s="1">
        <v>46052</v>
      </c>
      <c r="B2569" s="37">
        <v>694.15390000000002</v>
      </c>
      <c r="C2569" s="37">
        <v>694.15390000000002</v>
      </c>
      <c r="D2569" s="37">
        <v>694.15390000000002</v>
      </c>
      <c r="E2569" s="37">
        <v>694.15390000000002</v>
      </c>
    </row>
    <row r="2570" spans="1:5" x14ac:dyDescent="0.3">
      <c r="A2570" s="2">
        <v>46053</v>
      </c>
      <c r="B2570" s="36">
        <v>694.77250000000004</v>
      </c>
      <c r="C2570" s="36">
        <v>694.77250000000004</v>
      </c>
      <c r="D2570" s="36">
        <v>694.77250000000004</v>
      </c>
      <c r="E2570" s="36">
        <v>694.77250000000004</v>
      </c>
    </row>
    <row r="2571" spans="1:5" x14ac:dyDescent="0.3">
      <c r="A2571" s="1">
        <v>46054</v>
      </c>
      <c r="B2571" s="37">
        <v>695.39170000000001</v>
      </c>
      <c r="C2571" s="37">
        <v>695.39170000000001</v>
      </c>
      <c r="D2571" s="37">
        <v>695.39170000000001</v>
      </c>
      <c r="E2571" s="37">
        <v>695.39170000000001</v>
      </c>
    </row>
    <row r="2572" spans="1:5" x14ac:dyDescent="0.3">
      <c r="A2572" s="2">
        <v>46055</v>
      </c>
      <c r="B2572" s="36">
        <v>696.01149999999996</v>
      </c>
      <c r="C2572" s="36">
        <v>696.01149999999996</v>
      </c>
      <c r="D2572" s="36">
        <v>696.01149999999996</v>
      </c>
      <c r="E2572" s="36">
        <v>696.01149999999996</v>
      </c>
    </row>
    <row r="2573" spans="1:5" x14ac:dyDescent="0.3">
      <c r="A2573" s="1">
        <v>46056</v>
      </c>
      <c r="B2573" s="37">
        <v>696.6318</v>
      </c>
      <c r="C2573" s="37">
        <v>696.6318</v>
      </c>
      <c r="D2573" s="37">
        <v>696.6318</v>
      </c>
      <c r="E2573" s="37">
        <v>696.6318</v>
      </c>
    </row>
    <row r="2574" spans="1:5" x14ac:dyDescent="0.3">
      <c r="A2574" s="2">
        <v>46057</v>
      </c>
      <c r="B2574" s="36">
        <v>697.25260000000003</v>
      </c>
      <c r="C2574" s="36">
        <v>697.25260000000003</v>
      </c>
      <c r="D2574" s="36">
        <v>697.25260000000003</v>
      </c>
      <c r="E2574" s="36">
        <v>697.25260000000003</v>
      </c>
    </row>
    <row r="2575" spans="1:5" x14ac:dyDescent="0.3">
      <c r="A2575" s="1">
        <v>46058</v>
      </c>
      <c r="B2575" s="37">
        <v>697.87400000000002</v>
      </c>
      <c r="C2575" s="37">
        <v>697.87400000000002</v>
      </c>
      <c r="D2575" s="37">
        <v>697.87400000000002</v>
      </c>
      <c r="E2575" s="37">
        <v>697.87400000000002</v>
      </c>
    </row>
    <row r="2576" spans="1:5" x14ac:dyDescent="0.3">
      <c r="A2576" s="2">
        <v>46059</v>
      </c>
      <c r="B2576" s="36">
        <v>698.49590000000001</v>
      </c>
      <c r="C2576" s="36">
        <v>698.49590000000001</v>
      </c>
      <c r="D2576" s="36">
        <v>698.49590000000001</v>
      </c>
      <c r="E2576" s="36">
        <v>698.49590000000001</v>
      </c>
    </row>
    <row r="2577" spans="1:6" x14ac:dyDescent="0.3">
      <c r="A2577" s="1">
        <v>46060</v>
      </c>
      <c r="B2577" s="37">
        <v>699.11850000000004</v>
      </c>
      <c r="C2577" s="37">
        <v>699.11850000000004</v>
      </c>
      <c r="D2577" s="37">
        <v>699.11850000000004</v>
      </c>
      <c r="E2577" s="37">
        <v>699.11850000000004</v>
      </c>
    </row>
    <row r="2578" spans="1:6" x14ac:dyDescent="0.3">
      <c r="A2578" s="2">
        <v>46061</v>
      </c>
      <c r="B2578" s="36">
        <v>699.74149999999997</v>
      </c>
      <c r="C2578" s="36">
        <v>699.74149999999997</v>
      </c>
      <c r="D2578" s="36">
        <v>699.74149999999997</v>
      </c>
      <c r="E2578" s="36">
        <v>699.74149999999997</v>
      </c>
    </row>
    <row r="2579" spans="1:6" x14ac:dyDescent="0.3">
      <c r="A2579" s="1">
        <v>46062</v>
      </c>
      <c r="B2579" s="37">
        <v>700.36509999999998</v>
      </c>
      <c r="C2579" s="37">
        <v>700.36509999999998</v>
      </c>
      <c r="D2579" s="37">
        <v>700.36509999999998</v>
      </c>
      <c r="E2579" s="37">
        <v>700.36509999999998</v>
      </c>
    </row>
    <row r="2580" spans="1:6" x14ac:dyDescent="0.3">
      <c r="A2580" s="2">
        <v>46063</v>
      </c>
      <c r="B2580" s="36">
        <v>700.98929999999996</v>
      </c>
      <c r="C2580" s="36">
        <v>700.98929999999996</v>
      </c>
      <c r="D2580" s="36">
        <v>700.98929999999996</v>
      </c>
      <c r="E2580" s="36">
        <v>700.98929999999996</v>
      </c>
    </row>
    <row r="2581" spans="1:6" x14ac:dyDescent="0.3">
      <c r="A2581" s="1">
        <v>46064</v>
      </c>
      <c r="B2581" s="37">
        <v>701.61400000000003</v>
      </c>
      <c r="C2581" s="37">
        <v>701.61400000000003</v>
      </c>
      <c r="D2581" s="37">
        <v>701.61400000000003</v>
      </c>
      <c r="E2581" s="37">
        <v>701.61400000000003</v>
      </c>
    </row>
    <row r="2582" spans="1:6" x14ac:dyDescent="0.3">
      <c r="A2582" s="2">
        <v>46065</v>
      </c>
      <c r="B2582" s="36">
        <v>702.23929999999996</v>
      </c>
      <c r="C2582" s="36">
        <v>702.23929999999996</v>
      </c>
      <c r="D2582" s="36">
        <v>702.23929999999996</v>
      </c>
      <c r="E2582" s="36">
        <v>702.23929999999996</v>
      </c>
    </row>
    <row r="2583" spans="1:6" x14ac:dyDescent="0.3">
      <c r="A2583" s="1">
        <v>46066</v>
      </c>
      <c r="B2583" s="37">
        <v>702.86519999999996</v>
      </c>
      <c r="C2583" s="37">
        <v>702.86519999999996</v>
      </c>
      <c r="D2583" s="37">
        <v>702.86519999999996</v>
      </c>
      <c r="E2583" s="37">
        <v>702.86519999999996</v>
      </c>
    </row>
    <row r="2584" spans="1:6" x14ac:dyDescent="0.3">
      <c r="A2584" s="2">
        <v>46067</v>
      </c>
      <c r="B2584" s="36">
        <v>703.49159999999995</v>
      </c>
      <c r="C2584" s="36">
        <v>703.49159999999995</v>
      </c>
      <c r="D2584" s="36">
        <v>703.49159999999995</v>
      </c>
      <c r="E2584" s="36">
        <v>703.49159999999995</v>
      </c>
    </row>
    <row r="2585" spans="1:6" x14ac:dyDescent="0.3">
      <c r="A2585" s="1">
        <v>46068</v>
      </c>
      <c r="B2585" s="37">
        <v>704.11850000000004</v>
      </c>
      <c r="C2585" s="37">
        <v>704.11850000000004</v>
      </c>
      <c r="D2585" s="37">
        <v>704.11850000000004</v>
      </c>
      <c r="E2585" s="37">
        <v>704.11850000000004</v>
      </c>
      <c r="F2585" t="s">
        <v>36</v>
      </c>
    </row>
    <row r="2586" spans="1:6" x14ac:dyDescent="0.3">
      <c r="A2586" s="18">
        <v>46069</v>
      </c>
      <c r="B2586" s="38">
        <v>704.83780000000002</v>
      </c>
      <c r="C2586" s="38">
        <v>704.83780000000002</v>
      </c>
      <c r="D2586" s="38">
        <v>704.83780000000002</v>
      </c>
      <c r="E2586" s="38">
        <v>704.83780000000002</v>
      </c>
    </row>
    <row r="2587" spans="1:6" x14ac:dyDescent="0.3">
      <c r="A2587" s="19">
        <v>46070</v>
      </c>
      <c r="B2587" s="39">
        <v>705.55780000000004</v>
      </c>
      <c r="C2587" s="39">
        <v>705.55780000000004</v>
      </c>
      <c r="D2587" s="39">
        <v>705.55780000000004</v>
      </c>
      <c r="E2587" s="39">
        <v>705.55780000000004</v>
      </c>
    </row>
    <row r="2588" spans="1:6" x14ac:dyDescent="0.3">
      <c r="A2588" s="18">
        <v>46071</v>
      </c>
      <c r="B2588" s="38">
        <v>706.27850000000001</v>
      </c>
      <c r="C2588" s="38">
        <v>706.27850000000001</v>
      </c>
      <c r="D2588" s="38">
        <v>706.27850000000001</v>
      </c>
      <c r="E2588" s="38">
        <v>706.27850000000001</v>
      </c>
    </row>
    <row r="2589" spans="1:6" x14ac:dyDescent="0.3">
      <c r="A2589" s="19">
        <v>46072</v>
      </c>
      <c r="B2589" s="39">
        <v>707</v>
      </c>
      <c r="C2589" s="39">
        <v>707</v>
      </c>
      <c r="D2589" s="39">
        <v>707</v>
      </c>
      <c r="E2589" s="39">
        <v>707</v>
      </c>
    </row>
    <row r="2590" spans="1:6" x14ac:dyDescent="0.3">
      <c r="A2590" s="18">
        <v>46073</v>
      </c>
      <c r="B2590" s="38">
        <v>707.72220000000004</v>
      </c>
      <c r="C2590" s="38">
        <v>707.72220000000004</v>
      </c>
      <c r="D2590" s="38">
        <v>707.72220000000004</v>
      </c>
      <c r="E2590" s="38">
        <v>707.72220000000004</v>
      </c>
    </row>
    <row r="2591" spans="1:6" x14ac:dyDescent="0.3">
      <c r="A2591" s="19">
        <v>46074</v>
      </c>
      <c r="B2591" s="39">
        <v>708.44510000000002</v>
      </c>
      <c r="C2591" s="39">
        <v>708.44510000000002</v>
      </c>
      <c r="D2591" s="39">
        <v>708.44510000000002</v>
      </c>
      <c r="E2591" s="39">
        <v>708.44510000000002</v>
      </c>
    </row>
    <row r="2592" spans="1:6" x14ac:dyDescent="0.3">
      <c r="A2592" s="18">
        <v>46075</v>
      </c>
      <c r="B2592" s="38">
        <v>709.16880000000003</v>
      </c>
      <c r="C2592" s="38">
        <v>709.16880000000003</v>
      </c>
      <c r="D2592" s="38">
        <v>709.16880000000003</v>
      </c>
      <c r="E2592" s="38">
        <v>709.16880000000003</v>
      </c>
    </row>
    <row r="2593" spans="1:5" x14ac:dyDescent="0.3">
      <c r="A2593" s="19">
        <v>46076</v>
      </c>
      <c r="B2593" s="39">
        <v>709.89319999999998</v>
      </c>
      <c r="C2593" s="39">
        <v>709.89319999999998</v>
      </c>
      <c r="D2593" s="39">
        <v>709.89319999999998</v>
      </c>
      <c r="E2593" s="39">
        <v>709.89319999999998</v>
      </c>
    </row>
    <row r="2594" spans="1:5" x14ac:dyDescent="0.3">
      <c r="A2594" s="18">
        <v>46077</v>
      </c>
      <c r="B2594" s="38">
        <v>710.61839999999995</v>
      </c>
      <c r="C2594" s="38">
        <v>710.61839999999995</v>
      </c>
      <c r="D2594" s="38">
        <v>710.61839999999995</v>
      </c>
      <c r="E2594" s="38">
        <v>710.61839999999995</v>
      </c>
    </row>
    <row r="2595" spans="1:5" x14ac:dyDescent="0.3">
      <c r="A2595" s="19">
        <v>46078</v>
      </c>
      <c r="B2595" s="39">
        <v>711.3442</v>
      </c>
      <c r="C2595" s="39">
        <v>711.3442</v>
      </c>
      <c r="D2595" s="39">
        <v>711.3442</v>
      </c>
      <c r="E2595" s="39">
        <v>711.3442</v>
      </c>
    </row>
    <row r="2596" spans="1:5" x14ac:dyDescent="0.3">
      <c r="A2596" s="18">
        <v>46079</v>
      </c>
      <c r="B2596" s="38">
        <v>712.07090000000005</v>
      </c>
      <c r="C2596" s="38">
        <v>712.07090000000005</v>
      </c>
      <c r="D2596" s="38">
        <v>712.07090000000005</v>
      </c>
      <c r="E2596" s="38">
        <v>712.07090000000005</v>
      </c>
    </row>
    <row r="2597" spans="1:5" x14ac:dyDescent="0.3">
      <c r="A2597" s="19">
        <v>46080</v>
      </c>
      <c r="B2597" s="39">
        <v>712.79830000000004</v>
      </c>
      <c r="C2597" s="39">
        <v>712.79830000000004</v>
      </c>
      <c r="D2597" s="39">
        <v>712.79830000000004</v>
      </c>
      <c r="E2597" s="39">
        <v>712.79830000000004</v>
      </c>
    </row>
    <row r="2598" spans="1:5" x14ac:dyDescent="0.3">
      <c r="A2598" s="18">
        <v>46081</v>
      </c>
      <c r="B2598" s="38">
        <v>713.52639999999997</v>
      </c>
      <c r="C2598" s="38">
        <v>713.52639999999997</v>
      </c>
      <c r="D2598" s="38">
        <v>713.52639999999997</v>
      </c>
      <c r="E2598" s="38">
        <v>713.52639999999997</v>
      </c>
    </row>
    <row r="2599" spans="1:5" x14ac:dyDescent="0.3">
      <c r="A2599" s="19">
        <v>46082</v>
      </c>
      <c r="B2599" s="39">
        <v>714.25530000000003</v>
      </c>
      <c r="C2599" s="39">
        <v>714.25530000000003</v>
      </c>
      <c r="D2599" s="39">
        <v>714.25530000000003</v>
      </c>
      <c r="E2599" s="39">
        <v>714.25530000000003</v>
      </c>
    </row>
    <row r="2600" spans="1:5" x14ac:dyDescent="0.3">
      <c r="A2600" s="18">
        <v>46083</v>
      </c>
      <c r="B2600" s="38">
        <v>714.98490000000004</v>
      </c>
      <c r="C2600" s="38">
        <v>714.98490000000004</v>
      </c>
      <c r="D2600" s="38">
        <v>714.98490000000004</v>
      </c>
      <c r="E2600" s="38">
        <v>714.98490000000004</v>
      </c>
    </row>
    <row r="2601" spans="1:5" x14ac:dyDescent="0.3">
      <c r="A2601" s="19">
        <v>46084</v>
      </c>
      <c r="B2601" s="39">
        <v>715.71519999999998</v>
      </c>
      <c r="C2601" s="39">
        <v>715.71519999999998</v>
      </c>
      <c r="D2601" s="39">
        <v>715.71519999999998</v>
      </c>
      <c r="E2601" s="39">
        <v>715.71519999999998</v>
      </c>
    </row>
    <row r="2602" spans="1:5" x14ac:dyDescent="0.3">
      <c r="A2602" s="18">
        <v>46085</v>
      </c>
      <c r="B2602" s="38">
        <v>716.44629999999995</v>
      </c>
      <c r="C2602" s="38">
        <v>716.44629999999995</v>
      </c>
      <c r="D2602" s="38">
        <v>716.44629999999995</v>
      </c>
      <c r="E2602" s="38">
        <v>716.44629999999995</v>
      </c>
    </row>
    <row r="2603" spans="1:5" x14ac:dyDescent="0.3">
      <c r="A2603" s="19">
        <v>46086</v>
      </c>
      <c r="B2603" s="39">
        <v>717.17819999999995</v>
      </c>
      <c r="C2603" s="39">
        <v>717.17819999999995</v>
      </c>
      <c r="D2603" s="39">
        <v>717.17819999999995</v>
      </c>
      <c r="E2603" s="39">
        <v>717.17819999999995</v>
      </c>
    </row>
    <row r="2604" spans="1:5" x14ac:dyDescent="0.3">
      <c r="A2604" s="18">
        <v>46087</v>
      </c>
      <c r="B2604" s="38">
        <v>717.91079999999999</v>
      </c>
      <c r="C2604" s="38">
        <v>717.91079999999999</v>
      </c>
      <c r="D2604" s="38">
        <v>717.91079999999999</v>
      </c>
      <c r="E2604" s="38">
        <v>717.91079999999999</v>
      </c>
    </row>
    <row r="2605" spans="1:5" x14ac:dyDescent="0.3">
      <c r="A2605" s="19">
        <v>46088</v>
      </c>
      <c r="B2605" s="39">
        <v>718.64409999999998</v>
      </c>
      <c r="C2605" s="39">
        <v>718.64409999999998</v>
      </c>
      <c r="D2605" s="39">
        <v>718.64409999999998</v>
      </c>
      <c r="E2605" s="39">
        <v>718.64409999999998</v>
      </c>
    </row>
    <row r="2606" spans="1:5" x14ac:dyDescent="0.3">
      <c r="A2606" s="18">
        <v>46089</v>
      </c>
      <c r="B2606" s="38">
        <v>719.37819999999999</v>
      </c>
      <c r="C2606" s="38">
        <v>719.37819999999999</v>
      </c>
      <c r="D2606" s="38">
        <v>719.37819999999999</v>
      </c>
      <c r="E2606" s="38">
        <v>719.37819999999999</v>
      </c>
    </row>
    <row r="2607" spans="1:5" x14ac:dyDescent="0.3">
      <c r="A2607" s="19">
        <v>46090</v>
      </c>
      <c r="B2607" s="39">
        <v>720.11310000000003</v>
      </c>
      <c r="C2607" s="39">
        <v>720.11310000000003</v>
      </c>
      <c r="D2607" s="39">
        <v>720.11310000000003</v>
      </c>
      <c r="E2607" s="39">
        <v>720.11310000000003</v>
      </c>
    </row>
    <row r="2608" spans="1:5" x14ac:dyDescent="0.3">
      <c r="A2608" s="18">
        <v>46091</v>
      </c>
      <c r="B2608" s="38">
        <v>720.84870000000001</v>
      </c>
      <c r="C2608" s="38">
        <v>720.84870000000001</v>
      </c>
      <c r="D2608" s="38">
        <v>720.84870000000001</v>
      </c>
      <c r="E2608" s="38">
        <v>720.84870000000001</v>
      </c>
    </row>
    <row r="2609" spans="1:6" x14ac:dyDescent="0.3">
      <c r="A2609" s="19">
        <v>46092</v>
      </c>
      <c r="B2609" s="39">
        <v>721.58500000000004</v>
      </c>
      <c r="C2609" s="39">
        <v>721.58500000000004</v>
      </c>
      <c r="D2609" s="39">
        <v>721.58500000000004</v>
      </c>
      <c r="E2609" s="39">
        <v>721.58500000000004</v>
      </c>
    </row>
    <row r="2610" spans="1:6" x14ac:dyDescent="0.3">
      <c r="A2610" s="18">
        <v>46093</v>
      </c>
      <c r="B2610" s="38">
        <v>722.32209999999998</v>
      </c>
      <c r="C2610" s="38">
        <v>722.32209999999998</v>
      </c>
      <c r="D2610" s="38">
        <v>722.32209999999998</v>
      </c>
      <c r="E2610" s="38">
        <v>722.32209999999998</v>
      </c>
    </row>
    <row r="2611" spans="1:6" x14ac:dyDescent="0.3">
      <c r="A2611" s="19">
        <v>46094</v>
      </c>
      <c r="B2611" s="39">
        <v>723.06</v>
      </c>
      <c r="C2611" s="39">
        <v>723.06</v>
      </c>
      <c r="D2611" s="39">
        <v>723.06</v>
      </c>
      <c r="E2611" s="39">
        <v>723.06</v>
      </c>
    </row>
    <row r="2612" spans="1:6" x14ac:dyDescent="0.3">
      <c r="A2612" s="18">
        <v>46095</v>
      </c>
      <c r="B2612" s="38">
        <v>723.79859999999996</v>
      </c>
      <c r="C2612" s="38">
        <v>723.79859999999996</v>
      </c>
      <c r="D2612" s="38">
        <v>723.79859999999996</v>
      </c>
      <c r="E2612" s="38">
        <v>723.79859999999996</v>
      </c>
    </row>
    <row r="2613" spans="1:6" x14ac:dyDescent="0.3">
      <c r="A2613" s="46">
        <v>46096</v>
      </c>
      <c r="B2613" s="39">
        <v>724.53790000000004</v>
      </c>
      <c r="C2613" s="39">
        <v>724.53790000000004</v>
      </c>
      <c r="D2613" s="39">
        <v>724.53790000000004</v>
      </c>
      <c r="E2613" s="39">
        <v>724.53790000000004</v>
      </c>
      <c r="F2613" t="s">
        <v>35</v>
      </c>
    </row>
    <row r="2614" spans="1:6" x14ac:dyDescent="0.3">
      <c r="A2614" s="20">
        <v>46097</v>
      </c>
      <c r="B2614" s="40">
        <v>725.20640921375002</v>
      </c>
      <c r="C2614" s="40">
        <v>725.20640921375002</v>
      </c>
      <c r="D2614" s="40">
        <v>725.20640921375002</v>
      </c>
      <c r="E2614" s="40">
        <v>725.20640921375002</v>
      </c>
    </row>
    <row r="2615" spans="1:6" x14ac:dyDescent="0.3">
      <c r="A2615" s="21">
        <v>46098</v>
      </c>
      <c r="B2615" s="41">
        <v>725.87548563500002</v>
      </c>
      <c r="C2615" s="41">
        <v>725.87548563500002</v>
      </c>
      <c r="D2615" s="41">
        <v>725.87548563500002</v>
      </c>
      <c r="E2615" s="41">
        <v>725.87548563500002</v>
      </c>
    </row>
    <row r="2616" spans="1:6" x14ac:dyDescent="0.3">
      <c r="A2616" s="20">
        <v>46099</v>
      </c>
      <c r="B2616" s="40">
        <v>726.54517934707997</v>
      </c>
      <c r="C2616" s="40">
        <v>726.54517934707997</v>
      </c>
      <c r="D2616" s="40">
        <v>726.54517934707997</v>
      </c>
      <c r="E2616" s="40">
        <v>726.54517934707997</v>
      </c>
    </row>
    <row r="2617" spans="1:6" x14ac:dyDescent="0.3">
      <c r="A2617" s="21">
        <v>46100</v>
      </c>
      <c r="B2617" s="41">
        <v>727.21549091947998</v>
      </c>
      <c r="C2617" s="41">
        <v>727.21549091947998</v>
      </c>
      <c r="D2617" s="41">
        <v>727.21549091947998</v>
      </c>
      <c r="E2617" s="41">
        <v>727.21549091947998</v>
      </c>
    </row>
    <row r="2618" spans="1:6" x14ac:dyDescent="0.3">
      <c r="A2618" s="20">
        <v>46101</v>
      </c>
      <c r="B2618" s="40">
        <v>727.88642092225996</v>
      </c>
      <c r="C2618" s="40">
        <v>727.88642092225996</v>
      </c>
      <c r="D2618" s="40">
        <v>727.88642092225996</v>
      </c>
      <c r="E2618" s="40">
        <v>727.88642092225996</v>
      </c>
    </row>
    <row r="2619" spans="1:6" x14ac:dyDescent="0.3">
      <c r="A2619" s="21">
        <v>46102</v>
      </c>
      <c r="B2619" s="41">
        <v>728.55796992596004</v>
      </c>
      <c r="C2619" s="41">
        <v>728.55796992596004</v>
      </c>
      <c r="D2619" s="41">
        <v>728.55796992596004</v>
      </c>
      <c r="E2619" s="41">
        <v>728.55796992596004</v>
      </c>
    </row>
    <row r="2620" spans="1:6" x14ac:dyDescent="0.3">
      <c r="A2620" s="20">
        <v>46103</v>
      </c>
      <c r="B2620" s="40">
        <v>729.23013850170003</v>
      </c>
      <c r="C2620" s="40">
        <v>729.23013850170003</v>
      </c>
      <c r="D2620" s="40">
        <v>729.23013850170003</v>
      </c>
      <c r="E2620" s="40">
        <v>729.23013850170003</v>
      </c>
    </row>
    <row r="2621" spans="1:6" x14ac:dyDescent="0.3">
      <c r="A2621" s="21">
        <v>46104</v>
      </c>
      <c r="B2621" s="41">
        <v>729.90292722107995</v>
      </c>
      <c r="C2621" s="41">
        <v>729.90292722107995</v>
      </c>
      <c r="D2621" s="41">
        <v>729.90292722107995</v>
      </c>
      <c r="E2621" s="41">
        <v>729.90292722107995</v>
      </c>
    </row>
    <row r="2622" spans="1:6" x14ac:dyDescent="0.3">
      <c r="A2622" s="20">
        <v>46105</v>
      </c>
      <c r="B2622" s="40">
        <v>730.57633665623996</v>
      </c>
      <c r="C2622" s="40">
        <v>730.57633665623996</v>
      </c>
      <c r="D2622" s="40">
        <v>730.57633665623996</v>
      </c>
      <c r="E2622" s="40">
        <v>730.57633665623996</v>
      </c>
    </row>
    <row r="2623" spans="1:6" x14ac:dyDescent="0.3">
      <c r="A2623" s="21">
        <v>46106</v>
      </c>
      <c r="B2623" s="41">
        <v>731.25036737988</v>
      </c>
      <c r="C2623" s="41">
        <v>731.25036737988</v>
      </c>
      <c r="D2623" s="41">
        <v>731.25036737988</v>
      </c>
      <c r="E2623" s="41">
        <v>731.25036737988</v>
      </c>
    </row>
    <row r="2624" spans="1:6" x14ac:dyDescent="0.3">
      <c r="A2624" s="20">
        <v>46107</v>
      </c>
      <c r="B2624" s="40">
        <v>731.92501996517001</v>
      </c>
      <c r="C2624" s="40">
        <v>731.92501996517001</v>
      </c>
      <c r="D2624" s="40">
        <v>731.92501996517001</v>
      </c>
      <c r="E2624" s="40">
        <v>731.92501996517001</v>
      </c>
    </row>
    <row r="2625" spans="1:5" x14ac:dyDescent="0.3">
      <c r="A2625" s="21">
        <v>46108</v>
      </c>
      <c r="B2625" s="41">
        <v>732.60029498586005</v>
      </c>
      <c r="C2625" s="41">
        <v>732.60029498586005</v>
      </c>
      <c r="D2625" s="41">
        <v>732.60029498586005</v>
      </c>
      <c r="E2625" s="41">
        <v>732.60029498586005</v>
      </c>
    </row>
    <row r="2626" spans="1:5" x14ac:dyDescent="0.3">
      <c r="A2626" s="20">
        <v>46109</v>
      </c>
      <c r="B2626" s="40">
        <v>733.27619301619995</v>
      </c>
      <c r="C2626" s="40">
        <v>733.27619301619995</v>
      </c>
      <c r="D2626" s="40">
        <v>733.27619301619995</v>
      </c>
      <c r="E2626" s="40">
        <v>733.27619301619995</v>
      </c>
    </row>
    <row r="2627" spans="1:5" x14ac:dyDescent="0.3">
      <c r="A2627" s="21">
        <v>46110</v>
      </c>
      <c r="B2627" s="41">
        <v>733.95271463099004</v>
      </c>
      <c r="C2627" s="41">
        <v>733.95271463099004</v>
      </c>
      <c r="D2627" s="41">
        <v>733.95271463099004</v>
      </c>
      <c r="E2627" s="41">
        <v>733.95271463099004</v>
      </c>
    </row>
    <row r="2628" spans="1:5" x14ac:dyDescent="0.3">
      <c r="A2628" s="20">
        <v>46111</v>
      </c>
      <c r="B2628" s="40">
        <v>734.62986040553994</v>
      </c>
      <c r="C2628" s="40">
        <v>734.62986040553994</v>
      </c>
      <c r="D2628" s="40">
        <v>734.62986040553994</v>
      </c>
      <c r="E2628" s="40">
        <v>734.62986040553994</v>
      </c>
    </row>
    <row r="2629" spans="1:5" x14ac:dyDescent="0.3">
      <c r="A2629" s="21">
        <v>46112</v>
      </c>
      <c r="B2629" s="41">
        <v>735.30763091569997</v>
      </c>
      <c r="C2629" s="41">
        <v>735.30763091569997</v>
      </c>
      <c r="D2629" s="41">
        <v>735.30763091569997</v>
      </c>
      <c r="E2629" s="41">
        <v>735.30763091569997</v>
      </c>
    </row>
    <row r="2630" spans="1:5" x14ac:dyDescent="0.3">
      <c r="A2630" s="22">
        <v>46113</v>
      </c>
      <c r="B2630" s="42">
        <v>735.98602673786002</v>
      </c>
      <c r="C2630" s="42">
        <v>735.98602673786002</v>
      </c>
      <c r="D2630" s="42">
        <v>735.98602673786002</v>
      </c>
      <c r="E2630" s="42">
        <v>735.98602673786002</v>
      </c>
    </row>
    <row r="2631" spans="1:5" x14ac:dyDescent="0.3">
      <c r="A2631" s="23">
        <v>46114</v>
      </c>
      <c r="B2631" s="43">
        <v>736.66504844892995</v>
      </c>
      <c r="C2631" s="43">
        <v>736.66504844892995</v>
      </c>
      <c r="D2631" s="43">
        <v>736.66504844892995</v>
      </c>
      <c r="E2631" s="43">
        <v>736.66504844892995</v>
      </c>
    </row>
    <row r="2632" spans="1:5" x14ac:dyDescent="0.3">
      <c r="A2632" s="22">
        <v>46115</v>
      </c>
      <c r="B2632" s="42">
        <v>737.34469662636002</v>
      </c>
      <c r="C2632" s="42">
        <v>737.34469662636002</v>
      </c>
      <c r="D2632" s="42">
        <v>737.34469662636002</v>
      </c>
      <c r="E2632" s="42">
        <v>737.34469662636002</v>
      </c>
    </row>
    <row r="2633" spans="1:5" x14ac:dyDescent="0.3">
      <c r="A2633" s="23">
        <v>46116</v>
      </c>
      <c r="B2633" s="43">
        <v>738.02497184812</v>
      </c>
      <c r="C2633" s="43">
        <v>738.02497184812</v>
      </c>
      <c r="D2633" s="43">
        <v>738.02497184812</v>
      </c>
      <c r="E2633" s="43">
        <v>738.02497184812</v>
      </c>
    </row>
    <row r="2634" spans="1:5" x14ac:dyDescent="0.3">
      <c r="A2634" s="22">
        <v>46117</v>
      </c>
      <c r="B2634" s="42">
        <v>738.70587469273005</v>
      </c>
      <c r="C2634" s="42">
        <v>738.70587469273005</v>
      </c>
      <c r="D2634" s="42">
        <v>738.70587469273005</v>
      </c>
      <c r="E2634" s="42">
        <v>738.70587469273005</v>
      </c>
    </row>
    <row r="2635" spans="1:5" x14ac:dyDescent="0.3">
      <c r="A2635" s="23">
        <v>46118</v>
      </c>
      <c r="B2635" s="43">
        <v>739.38740573922996</v>
      </c>
      <c r="C2635" s="43">
        <v>739.38740573922996</v>
      </c>
      <c r="D2635" s="43">
        <v>739.38740573922996</v>
      </c>
      <c r="E2635" s="43">
        <v>739.38740573922996</v>
      </c>
    </row>
    <row r="2636" spans="1:5" x14ac:dyDescent="0.3">
      <c r="A2636" s="22">
        <v>46119</v>
      </c>
      <c r="B2636" s="42">
        <v>740.06956556720002</v>
      </c>
      <c r="C2636" s="42">
        <v>740.06956556720002</v>
      </c>
      <c r="D2636" s="42">
        <v>740.06956556720002</v>
      </c>
      <c r="E2636" s="42">
        <v>740.06956556720002</v>
      </c>
    </row>
    <row r="2637" spans="1:5" x14ac:dyDescent="0.3">
      <c r="A2637" s="23">
        <v>46120</v>
      </c>
      <c r="B2637" s="43">
        <v>740.75235475676004</v>
      </c>
      <c r="C2637" s="43">
        <v>740.75235475676004</v>
      </c>
      <c r="D2637" s="43">
        <v>740.75235475676004</v>
      </c>
      <c r="E2637" s="43">
        <v>740.75235475676004</v>
      </c>
    </row>
    <row r="2638" spans="1:5" x14ac:dyDescent="0.3">
      <c r="A2638" s="22">
        <v>46121</v>
      </c>
      <c r="B2638" s="42">
        <v>741.43577388854999</v>
      </c>
      <c r="C2638" s="42">
        <v>741.43577388854999</v>
      </c>
      <c r="D2638" s="42">
        <v>741.43577388854999</v>
      </c>
      <c r="E2638" s="42">
        <v>741.43577388854999</v>
      </c>
    </row>
    <row r="2639" spans="1:5" x14ac:dyDescent="0.3">
      <c r="A2639" s="23">
        <v>46122</v>
      </c>
      <c r="B2639" s="43">
        <v>742.11982354377005</v>
      </c>
      <c r="C2639" s="43">
        <v>742.11982354377005</v>
      </c>
      <c r="D2639" s="43">
        <v>742.11982354377005</v>
      </c>
      <c r="E2639" s="43">
        <v>742.11982354377005</v>
      </c>
    </row>
    <row r="2640" spans="1:5" x14ac:dyDescent="0.3">
      <c r="A2640" s="22">
        <v>46123</v>
      </c>
      <c r="B2640" s="42">
        <v>742.80450430412998</v>
      </c>
      <c r="C2640" s="42">
        <v>742.80450430412998</v>
      </c>
      <c r="D2640" s="42">
        <v>742.80450430412998</v>
      </c>
      <c r="E2640" s="42">
        <v>742.80450430412998</v>
      </c>
    </row>
    <row r="2641" spans="1:6" x14ac:dyDescent="0.3">
      <c r="A2641" s="23">
        <v>46124</v>
      </c>
      <c r="B2641" s="43">
        <v>743.48981675188998</v>
      </c>
      <c r="C2641" s="43">
        <v>743.48981675188998</v>
      </c>
      <c r="D2641" s="43">
        <v>743.48981675188998</v>
      </c>
      <c r="E2641" s="43">
        <v>743.48981675188998</v>
      </c>
    </row>
    <row r="2642" spans="1:6" x14ac:dyDescent="0.3">
      <c r="A2642" s="22">
        <v>46125</v>
      </c>
      <c r="B2642" s="42">
        <v>744.17576146985004</v>
      </c>
      <c r="C2642" s="42">
        <v>744.17576146985004</v>
      </c>
      <c r="D2642" s="42">
        <v>744.17576146985004</v>
      </c>
      <c r="E2642" s="42">
        <v>744.17576146985004</v>
      </c>
    </row>
    <row r="2643" spans="1:6" x14ac:dyDescent="0.3">
      <c r="A2643" s="23">
        <v>46126</v>
      </c>
      <c r="B2643" s="43">
        <v>744.86233904134997</v>
      </c>
      <c r="C2643" s="43">
        <v>744.86233904134997</v>
      </c>
      <c r="D2643" s="43">
        <v>744.86233904134997</v>
      </c>
      <c r="E2643" s="43">
        <v>744.86233904134997</v>
      </c>
    </row>
    <row r="2644" spans="1:6" x14ac:dyDescent="0.3">
      <c r="A2644" s="29">
        <v>46127</v>
      </c>
      <c r="B2644" s="42">
        <v>745.54955005023999</v>
      </c>
      <c r="C2644" s="42">
        <v>745.54955005023999</v>
      </c>
      <c r="D2644" s="42">
        <v>745.54955005023999</v>
      </c>
      <c r="E2644" s="42">
        <v>745.54955005023999</v>
      </c>
    </row>
    <row r="2645" spans="1:6" x14ac:dyDescent="0.3">
      <c r="A2645" s="49">
        <v>46128</v>
      </c>
      <c r="B2645" s="50">
        <v>746.38092265237003</v>
      </c>
      <c r="C2645" s="35">
        <f>+C2644*((1+INFLA!$B$5)^(1/-_xlfn.DAYS(CER!$A$2644,CER!$A$2674)))</f>
        <v>746.21194011686612</v>
      </c>
      <c r="D2645" s="35">
        <f>+D2644*((1+INFLA!$C$5)^(1/-_xlfn.DAYS(CER!$A$2644,CER!$A$2674)))</f>
        <v>746.28449711707299</v>
      </c>
      <c r="E2645" s="35">
        <f>+E2644*((1+INFLA!$D$5)^(1/-_xlfn.DAYS(CER!$A$2644,CER!$A$2674)))</f>
        <v>746.33275504528854</v>
      </c>
    </row>
    <row r="2646" spans="1:6" x14ac:dyDescent="0.3">
      <c r="A2646" s="51">
        <v>46129</v>
      </c>
      <c r="B2646" s="52">
        <v>747.21322232958005</v>
      </c>
      <c r="C2646" s="35">
        <f>+C2645*((1+INFLA!$B$5)^(1/-_xlfn.DAYS(CER!$A$2644,CER!$A$2674)))</f>
        <v>746.87491868978316</v>
      </c>
      <c r="D2646" s="35">
        <f>+D2645*((1+INFLA!$C$5)^(1/-_xlfn.DAYS(CER!$A$2644,CER!$A$2674)))</f>
        <v>747.02016867926784</v>
      </c>
      <c r="E2646" s="35">
        <f>+E2645*((1+INFLA!$D$5)^(1/-_xlfn.DAYS(CER!$A$2644,CER!$A$2674)))</f>
        <v>747.11678280263936</v>
      </c>
    </row>
    <row r="2647" spans="1:6" x14ac:dyDescent="0.3">
      <c r="A2647" s="49">
        <v>46130</v>
      </c>
      <c r="B2647" s="50">
        <v>748.04645011565003</v>
      </c>
      <c r="C2647" s="35">
        <f>+C2646*((1+INFLA!$B$5)^(1/-_xlfn.DAYS(CER!$A$2644,CER!$A$2674)))</f>
        <v>747.53848629185461</v>
      </c>
      <c r="D2647" s="35">
        <f>+D2646*((1+INFLA!$C$5)^(1/-_xlfn.DAYS(CER!$A$2644,CER!$A$2674)))</f>
        <v>747.75656545101674</v>
      </c>
      <c r="E2647" s="35">
        <f>+E2646*((1+INFLA!$D$5)^(1/-_xlfn.DAYS(CER!$A$2644,CER!$A$2674)))</f>
        <v>747.90163418661007</v>
      </c>
      <c r="F2647" s="31"/>
    </row>
    <row r="2648" spans="1:6" x14ac:dyDescent="0.3">
      <c r="A2648" s="51">
        <v>46131</v>
      </c>
      <c r="B2648" s="52">
        <v>748.88060704553004</v>
      </c>
      <c r="C2648" s="35">
        <f>+C2647*((1+INFLA!$B$5)^(1/-_xlfn.DAYS(CER!$A$2644,CER!$A$2674)))</f>
        <v>748.20264344640873</v>
      </c>
      <c r="D2648" s="35">
        <f>+D2647*((1+INFLA!$C$5)^(1/-_xlfn.DAYS(CER!$A$2644,CER!$A$2674)))</f>
        <v>748.49368814721618</v>
      </c>
      <c r="E2648" s="35">
        <f>+E2647*((1+INFLA!$D$5)^(1/-_xlfn.DAYS(CER!$A$2644,CER!$A$2674)))</f>
        <v>748.68731006242604</v>
      </c>
      <c r="F2648" s="31"/>
    </row>
    <row r="2649" spans="1:6" x14ac:dyDescent="0.3">
      <c r="A2649" s="49">
        <v>46132</v>
      </c>
      <c r="B2649" s="50">
        <v>749.71569415532997</v>
      </c>
      <c r="C2649" s="35">
        <f>+C2648*((1+INFLA!$B$5)^(1/-_xlfn.DAYS(CER!$A$2644,CER!$A$2674)))</f>
        <v>748.86739067723852</v>
      </c>
      <c r="D2649" s="35">
        <f>+D2648*((1+INFLA!$C$5)^(1/-_xlfn.DAYS(CER!$A$2644,CER!$A$2674)))</f>
        <v>749.23153748346715</v>
      </c>
      <c r="E2649" s="35">
        <f>+E2648*((1+INFLA!$D$5)^(1/-_xlfn.DAYS(CER!$A$2644,CER!$A$2674)))</f>
        <v>749.47381129622181</v>
      </c>
    </row>
    <row r="2650" spans="1:6" x14ac:dyDescent="0.3">
      <c r="A2650" s="51">
        <v>46133</v>
      </c>
      <c r="B2650" s="52">
        <v>750.55171248229999</v>
      </c>
      <c r="C2650" s="35">
        <f>+C2649*((1+INFLA!$B$5)^(1/-_xlfn.DAYS(CER!$A$2644,CER!$A$2674)))</f>
        <v>749.53272850860253</v>
      </c>
      <c r="D2650" s="35">
        <f>+D2649*((1+INFLA!$C$5)^(1/-_xlfn.DAYS(CER!$A$2644,CER!$A$2674)))</f>
        <v>749.97011417607609</v>
      </c>
      <c r="E2650" s="35">
        <f>+E2649*((1+INFLA!$D$5)^(1/-_xlfn.DAYS(CER!$A$2644,CER!$A$2674)))</f>
        <v>750.26113875504166</v>
      </c>
      <c r="F2650" s="33"/>
    </row>
    <row r="2651" spans="1:6" x14ac:dyDescent="0.3">
      <c r="A2651" s="49">
        <v>46134</v>
      </c>
      <c r="B2651" s="50">
        <v>751.38866306486</v>
      </c>
      <c r="C2651" s="35">
        <f>+C2650*((1+INFLA!$B$5)^(1/-_xlfn.DAYS(CER!$A$2644,CER!$A$2674)))</f>
        <v>750.19865746522498</v>
      </c>
      <c r="D2651" s="35">
        <f>+D2650*((1+INFLA!$C$5)^(1/-_xlfn.DAYS(CER!$A$2644,CER!$A$2674)))</f>
        <v>750.70941894205566</v>
      </c>
      <c r="E2651" s="35">
        <f>+E2650*((1+INFLA!$D$5)^(1/-_xlfn.DAYS(CER!$A$2644,CER!$A$2674)))</f>
        <v>751.0492933068407</v>
      </c>
    </row>
    <row r="2652" spans="1:6" x14ac:dyDescent="0.3">
      <c r="A2652" s="51">
        <v>46135</v>
      </c>
      <c r="B2652" s="52">
        <v>752.22654694257994</v>
      </c>
      <c r="C2652" s="35">
        <f>+C2651*((1+INFLA!$B$5)^(1/-_xlfn.DAYS(CER!$A$2644,CER!$A$2674)))</f>
        <v>750.86517807229632</v>
      </c>
      <c r="D2652" s="35">
        <f>+D2651*((1+INFLA!$C$5)^(1/-_xlfn.DAYS(CER!$A$2644,CER!$A$2674)))</f>
        <v>751.4494524991253</v>
      </c>
      <c r="E2652" s="35">
        <f>+E2651*((1+INFLA!$D$5)^(1/-_xlfn.DAYS(CER!$A$2644,CER!$A$2674)))</f>
        <v>751.83827582048582</v>
      </c>
      <c r="F2652" s="34"/>
    </row>
    <row r="2653" spans="1:6" x14ac:dyDescent="0.3">
      <c r="A2653" s="49">
        <v>46136</v>
      </c>
      <c r="B2653" s="50">
        <v>753.06536515617995</v>
      </c>
      <c r="C2653" s="35">
        <f>+C2652*((1+INFLA!$B$5)^(1/-_xlfn.DAYS(CER!$A$2644,CER!$A$2674)))</f>
        <v>751.53229085547355</v>
      </c>
      <c r="D2653" s="35">
        <f>+D2652*((1+INFLA!$C$5)^(1/-_xlfn.DAYS(CER!$A$2644,CER!$A$2674)))</f>
        <v>752.19021556571192</v>
      </c>
      <c r="E2653" s="35">
        <f>+E2652*((1+INFLA!$D$5)^(1/-_xlfn.DAYS(CER!$A$2644,CER!$A$2674)))</f>
        <v>752.62808716575671</v>
      </c>
    </row>
    <row r="2654" spans="1:6" x14ac:dyDescent="0.3">
      <c r="A2654" s="51">
        <v>46137</v>
      </c>
      <c r="B2654" s="52">
        <v>753.90511874754998</v>
      </c>
      <c r="C2654" s="35">
        <f>+C2653*((1+INFLA!$B$5)^(1/-_xlfn.DAYS(CER!$A$2644,CER!$A$2674)))</f>
        <v>752.19999634088083</v>
      </c>
      <c r="D2654" s="35">
        <f>+D2653*((1+INFLA!$C$5)^(1/-_xlfn.DAYS(CER!$A$2644,CER!$A$2674)))</f>
        <v>752.93170886095061</v>
      </c>
      <c r="E2654" s="35">
        <f>+E2653*((1+INFLA!$D$5)^(1/-_xlfn.DAYS(CER!$A$2644,CER!$A$2674)))</f>
        <v>753.41872821334687</v>
      </c>
    </row>
    <row r="2655" spans="1:6" x14ac:dyDescent="0.3">
      <c r="A2655" s="49">
        <v>46138</v>
      </c>
      <c r="B2655" s="50">
        <v>754.74580875976005</v>
      </c>
      <c r="C2655" s="35">
        <f>+C2654*((1+INFLA!$B$5)^(1/-_xlfn.DAYS(CER!$A$2644,CER!$A$2674)))</f>
        <v>752.86829505510957</v>
      </c>
      <c r="D2655" s="35">
        <f>+D2654*((1+INFLA!$C$5)^(1/-_xlfn.DAYS(CER!$A$2644,CER!$A$2674)))</f>
        <v>753.67393310468537</v>
      </c>
      <c r="E2655" s="35">
        <f>+E2654*((1+INFLA!$D$5)^(1/-_xlfn.DAYS(CER!$A$2644,CER!$A$2674)))</f>
        <v>754.21019983486428</v>
      </c>
    </row>
    <row r="2656" spans="1:6" x14ac:dyDescent="0.3">
      <c r="A2656" s="51">
        <v>46139</v>
      </c>
      <c r="B2656" s="52">
        <v>755.58743623701002</v>
      </c>
      <c r="C2656" s="35">
        <f>+C2655*((1+INFLA!$B$5)^(1/-_xlfn.DAYS(CER!$A$2644,CER!$A$2674)))</f>
        <v>753.53718752521922</v>
      </c>
      <c r="D2656" s="35">
        <f>+D2655*((1+INFLA!$C$5)^(1/-_xlfn.DAYS(CER!$A$2644,CER!$A$2674)))</f>
        <v>754.41688901747</v>
      </c>
      <c r="E2656" s="35">
        <f>+E2655*((1+INFLA!$D$5)^(1/-_xlfn.DAYS(CER!$A$2644,CER!$A$2674)))</f>
        <v>755.0025029028327</v>
      </c>
    </row>
    <row r="2657" spans="1:6" x14ac:dyDescent="0.3">
      <c r="A2657" s="49">
        <v>46140</v>
      </c>
      <c r="B2657" s="50">
        <v>756.43000222469004</v>
      </c>
      <c r="C2657" s="35">
        <f>+C2656*((1+INFLA!$B$5)^(1/-_xlfn.DAYS(CER!$A$2644,CER!$A$2674)))</f>
        <v>754.20667427873741</v>
      </c>
      <c r="D2657" s="35">
        <f>+D2656*((1+INFLA!$C$5)^(1/-_xlfn.DAYS(CER!$A$2644,CER!$A$2674)))</f>
        <v>755.16057732056834</v>
      </c>
      <c r="E2657" s="35">
        <f>+E2656*((1+INFLA!$D$5)^(1/-_xlfn.DAYS(CER!$A$2644,CER!$A$2674)))</f>
        <v>755.79563829069241</v>
      </c>
    </row>
    <row r="2658" spans="1:6" x14ac:dyDescent="0.3">
      <c r="A2658" s="51">
        <v>46141</v>
      </c>
      <c r="B2658" s="52">
        <v>757.27350776933997</v>
      </c>
      <c r="C2658" s="35">
        <f>+C2657*((1+INFLA!$B$5)^(1/-_xlfn.DAYS(CER!$A$2644,CER!$A$2674)))</f>
        <v>754.87675584366048</v>
      </c>
      <c r="D2658" s="35">
        <f>+D2657*((1+INFLA!$C$5)^(1/-_xlfn.DAYS(CER!$A$2644,CER!$A$2674)))</f>
        <v>755.90499873595547</v>
      </c>
      <c r="E2658" s="35">
        <f>+E2657*((1+INFLA!$D$5)^(1/-_xlfn.DAYS(CER!$A$2644,CER!$A$2674)))</f>
        <v>756.58960687280114</v>
      </c>
    </row>
    <row r="2659" spans="1:6" x14ac:dyDescent="0.3">
      <c r="A2659" s="49">
        <v>46142</v>
      </c>
      <c r="B2659" s="50">
        <v>758.11795391867997</v>
      </c>
      <c r="C2659" s="35">
        <f>+C2658*((1+INFLA!$B$5)^(1/-_xlfn.DAYS(CER!$A$2644,CER!$A$2674)))</f>
        <v>755.54743274845384</v>
      </c>
      <c r="D2659" s="35">
        <f>+D2658*((1+INFLA!$C$5)^(1/-_xlfn.DAYS(CER!$A$2644,CER!$A$2674)))</f>
        <v>756.65015398631795</v>
      </c>
      <c r="E2659" s="35">
        <f>+E2658*((1+INFLA!$D$5)^(1/-_xlfn.DAYS(CER!$A$2644,CER!$A$2674)))</f>
        <v>757.38440952443534</v>
      </c>
    </row>
    <row r="2660" spans="1:6" x14ac:dyDescent="0.3">
      <c r="A2660" s="51">
        <v>46143</v>
      </c>
      <c r="B2660" s="52">
        <v>758.96334172158004</v>
      </c>
      <c r="C2660" s="35">
        <f>+C2659*((1+INFLA!$B$5)^(1/-_xlfn.DAYS(CER!$A$2644,CER!$A$2674)))</f>
        <v>756.21870552205246</v>
      </c>
      <c r="D2660" s="35">
        <f>+D2659*((1+INFLA!$C$5)^(1/-_xlfn.DAYS(CER!$A$2644,CER!$A$2674)))</f>
        <v>757.39604379505499</v>
      </c>
      <c r="E2660" s="35">
        <f>+E2659*((1+INFLA!$D$5)^(1/-_xlfn.DAYS(CER!$A$2644,CER!$A$2674)))</f>
        <v>758.18004712179084</v>
      </c>
    </row>
    <row r="2661" spans="1:6" x14ac:dyDescent="0.3">
      <c r="A2661" s="49">
        <v>46144</v>
      </c>
      <c r="B2661" s="50">
        <v>759.8096722281</v>
      </c>
      <c r="C2661" s="35">
        <f>+C2660*((1+INFLA!$B$5)^(1/-_xlfn.DAYS(CER!$A$2644,CER!$A$2674)))</f>
        <v>756.89057469386125</v>
      </c>
      <c r="D2661" s="35">
        <f>+D2660*((1+INFLA!$C$5)^(1/-_xlfn.DAYS(CER!$A$2644,CER!$A$2674)))</f>
        <v>758.14266888627867</v>
      </c>
      <c r="E2661" s="35">
        <f>+E2660*((1+INFLA!$D$5)^(1/-_xlfn.DAYS(CER!$A$2644,CER!$A$2674)))</f>
        <v>758.97652054198397</v>
      </c>
    </row>
    <row r="2662" spans="1:6" x14ac:dyDescent="0.3">
      <c r="A2662" s="51">
        <v>46145</v>
      </c>
      <c r="B2662" s="52">
        <v>760.65694648944998</v>
      </c>
      <c r="C2662" s="35">
        <f>+C2661*((1+INFLA!$B$5)^(1/-_xlfn.DAYS(CER!$A$2644,CER!$A$2674)))</f>
        <v>757.56304079375548</v>
      </c>
      <c r="D2662" s="35">
        <f>+D2661*((1+INFLA!$C$5)^(1/-_xlfn.DAYS(CER!$A$2644,CER!$A$2674)))</f>
        <v>758.8900299848151</v>
      </c>
      <c r="E2662" s="35">
        <f>+E2661*((1+INFLA!$D$5)^(1/-_xlfn.DAYS(CER!$A$2644,CER!$A$2674)))</f>
        <v>759.77383066305242</v>
      </c>
    </row>
    <row r="2663" spans="1:6" x14ac:dyDescent="0.3">
      <c r="A2663" s="49">
        <v>46146</v>
      </c>
      <c r="B2663" s="50">
        <v>761.50516555803995</v>
      </c>
      <c r="C2663" s="35">
        <f>+C2662*((1+INFLA!$B$5)^(1/-_xlfn.DAYS(CER!$A$2644,CER!$A$2674)))</f>
        <v>758.23610435208116</v>
      </c>
      <c r="D2663" s="35">
        <f>+D2662*((1+INFLA!$C$5)^(1/-_xlfn.DAYS(CER!$A$2644,CER!$A$2674)))</f>
        <v>759.6381278162047</v>
      </c>
      <c r="E2663" s="35">
        <f>+E2662*((1+INFLA!$D$5)^(1/-_xlfn.DAYS(CER!$A$2644,CER!$A$2674)))</f>
        <v>760.5719783639563</v>
      </c>
      <c r="F2663" s="16"/>
    </row>
    <row r="2664" spans="1:6" x14ac:dyDescent="0.3">
      <c r="A2664" s="51">
        <v>46147</v>
      </c>
      <c r="B2664" s="52">
        <v>762.35433048744005</v>
      </c>
      <c r="C2664" s="35">
        <f>+C2663*((1+INFLA!$B$5)^(1/-_xlfn.DAYS(CER!$A$2644,CER!$A$2674)))</f>
        <v>758.90976589965544</v>
      </c>
      <c r="D2664" s="35">
        <f>+D2663*((1+INFLA!$C$5)^(1/-_xlfn.DAYS(CER!$A$2644,CER!$A$2674)))</f>
        <v>760.38696310670332</v>
      </c>
      <c r="E2664" s="35">
        <f>+E2663*((1+INFLA!$D$5)^(1/-_xlfn.DAYS(CER!$A$2644,CER!$A$2674)))</f>
        <v>761.37096452457899</v>
      </c>
    </row>
    <row r="2665" spans="1:6" x14ac:dyDescent="0.3">
      <c r="A2665" s="49">
        <v>46148</v>
      </c>
      <c r="B2665" s="50">
        <v>763.20444233237004</v>
      </c>
      <c r="C2665" s="35">
        <f>+C2664*((1+INFLA!$B$5)^(1/-_xlfn.DAYS(CER!$A$2644,CER!$A$2674)))</f>
        <v>759.58402596776716</v>
      </c>
      <c r="D2665" s="35">
        <f>+D2664*((1+INFLA!$C$5)^(1/-_xlfn.DAYS(CER!$A$2644,CER!$A$2674)))</f>
        <v>761.13653658328258</v>
      </c>
      <c r="E2665" s="35">
        <f>+E2664*((1+INFLA!$D$5)^(1/-_xlfn.DAYS(CER!$A$2644,CER!$A$2674)))</f>
        <v>762.17079002572837</v>
      </c>
    </row>
    <row r="2666" spans="1:6" x14ac:dyDescent="0.3">
      <c r="A2666" s="51">
        <v>46149</v>
      </c>
      <c r="B2666" s="52">
        <v>764.05550214875996</v>
      </c>
      <c r="C2666" s="35">
        <f>+C2665*((1+INFLA!$B$5)^(1/-_xlfn.DAYS(CER!$A$2644,CER!$A$2674)))</f>
        <v>760.25888508817718</v>
      </c>
      <c r="D2666" s="35">
        <f>+D2665*((1+INFLA!$C$5)^(1/-_xlfn.DAYS(CER!$A$2644,CER!$A$2674)))</f>
        <v>761.88684897363089</v>
      </c>
      <c r="E2666" s="35">
        <f>+E2665*((1+INFLA!$D$5)^(1/-_xlfn.DAYS(CER!$A$2644,CER!$A$2674)))</f>
        <v>762.97145574913748</v>
      </c>
    </row>
    <row r="2667" spans="1:6" x14ac:dyDescent="0.3">
      <c r="A2667" s="49">
        <v>46150</v>
      </c>
      <c r="B2667" s="50">
        <v>764.90751099372005</v>
      </c>
      <c r="C2667" s="35">
        <f>+C2666*((1+INFLA!$B$5)^(1/-_xlfn.DAYS(CER!$A$2644,CER!$A$2674)))</f>
        <v>760.93434379311873</v>
      </c>
      <c r="D2667" s="35">
        <f>+D2666*((1+INFLA!$C$5)^(1/-_xlfn.DAYS(CER!$A$2644,CER!$A$2674)))</f>
        <v>762.63790100615381</v>
      </c>
      <c r="E2667" s="35">
        <f>+E2666*((1+INFLA!$D$5)^(1/-_xlfn.DAYS(CER!$A$2644,CER!$A$2674)))</f>
        <v>763.77296257746559</v>
      </c>
    </row>
    <row r="2668" spans="1:6" x14ac:dyDescent="0.3">
      <c r="A2668" s="51">
        <v>46151</v>
      </c>
      <c r="B2668" s="52">
        <v>765.76046992550005</v>
      </c>
      <c r="C2668" s="35">
        <f>+C2667*((1+INFLA!$B$5)^(1/-_xlfn.DAYS(CER!$A$2644,CER!$A$2674)))</f>
        <v>761.61040261529797</v>
      </c>
      <c r="D2668" s="35">
        <f>+D2667*((1+INFLA!$C$5)^(1/-_xlfn.DAYS(CER!$A$2644,CER!$A$2674)))</f>
        <v>763.38969340997505</v>
      </c>
      <c r="E2668" s="35">
        <f>+E2667*((1+INFLA!$D$5)^(1/-_xlfn.DAYS(CER!$A$2644,CER!$A$2674)))</f>
        <v>764.57531139429932</v>
      </c>
    </row>
    <row r="2669" spans="1:6" x14ac:dyDescent="0.3">
      <c r="A2669" s="49">
        <v>46152</v>
      </c>
      <c r="B2669" s="50">
        <v>766.61438000357998</v>
      </c>
      <c r="C2669" s="35">
        <f>+C2668*((1+INFLA!$B$5)^(1/-_xlfn.DAYS(CER!$A$2644,CER!$A$2674)))</f>
        <v>762.28706208789447</v>
      </c>
      <c r="D2669" s="35">
        <f>+D2668*((1+INFLA!$C$5)^(1/-_xlfn.DAYS(CER!$A$2644,CER!$A$2674)))</f>
        <v>764.14222691493705</v>
      </c>
      <c r="E2669" s="35">
        <f>+E2668*((1+INFLA!$D$5)^(1/-_xlfn.DAYS(CER!$A$2644,CER!$A$2674)))</f>
        <v>765.37850308415341</v>
      </c>
    </row>
    <row r="2670" spans="1:6" x14ac:dyDescent="0.3">
      <c r="A2670" s="51">
        <v>46153</v>
      </c>
      <c r="B2670" s="52">
        <v>767.46924228856994</v>
      </c>
      <c r="C2670" s="35">
        <f>+C2669*((1+INFLA!$B$5)^(1/-_xlfn.DAYS(CER!$A$2644,CER!$A$2674)))</f>
        <v>762.96432274456129</v>
      </c>
      <c r="D2670" s="35">
        <f>+D2669*((1+INFLA!$C$5)^(1/-_xlfn.DAYS(CER!$A$2644,CER!$A$2674)))</f>
        <v>764.89550225160178</v>
      </c>
      <c r="E2670" s="35">
        <f>+E2669*((1+INFLA!$D$5)^(1/-_xlfn.DAYS(CER!$A$2644,CER!$A$2674)))</f>
        <v>766.18253853247188</v>
      </c>
    </row>
    <row r="2671" spans="1:6" x14ac:dyDescent="0.3">
      <c r="A2671" s="49">
        <v>46154</v>
      </c>
      <c r="B2671" s="50">
        <v>768.32505784231</v>
      </c>
      <c r="C2671" s="35">
        <f>+C2670*((1+INFLA!$B$5)^(1/-_xlfn.DAYS(CER!$A$2644,CER!$A$2674)))</f>
        <v>763.64218511942568</v>
      </c>
      <c r="D2671" s="35">
        <f>+D2670*((1+INFLA!$C$5)^(1/-_xlfn.DAYS(CER!$A$2644,CER!$A$2674)))</f>
        <v>765.64952015125129</v>
      </c>
      <c r="E2671" s="35">
        <f>+E2670*((1+INFLA!$D$5)^(1/-_xlfn.DAYS(CER!$A$2644,CER!$A$2674)))</f>
        <v>766.98741862562895</v>
      </c>
    </row>
    <row r="2672" spans="1:6" x14ac:dyDescent="0.3">
      <c r="A2672" s="51">
        <v>46155</v>
      </c>
      <c r="B2672" s="52">
        <v>769.18182772780006</v>
      </c>
      <c r="C2672" s="35">
        <f>+C2671*((1+INFLA!$B$5)^(1/-_xlfn.DAYS(CER!$A$2644,CER!$A$2674)))</f>
        <v>764.32064974708953</v>
      </c>
      <c r="D2672" s="35">
        <f>+D2671*((1+INFLA!$C$5)^(1/-_xlfn.DAYS(CER!$A$2644,CER!$A$2674)))</f>
        <v>766.40428134588853</v>
      </c>
      <c r="E2672" s="35">
        <f>+E2671*((1+INFLA!$D$5)^(1/-_xlfn.DAYS(CER!$A$2644,CER!$A$2674)))</f>
        <v>767.7931442509298</v>
      </c>
    </row>
    <row r="2673" spans="1:5" x14ac:dyDescent="0.3">
      <c r="A2673" s="49">
        <v>46156</v>
      </c>
      <c r="B2673" s="50">
        <v>770.03955300921996</v>
      </c>
      <c r="C2673" s="35">
        <f>+C2672*((1+INFLA!$B$5)^(1/-_xlfn.DAYS(CER!$A$2644,CER!$A$2674)))</f>
        <v>764.99971716262962</v>
      </c>
      <c r="D2673" s="35">
        <f>+D2672*((1+INFLA!$C$5)^(1/-_xlfn.DAYS(CER!$A$2644,CER!$A$2674)))</f>
        <v>767.15978656823813</v>
      </c>
      <c r="E2673" s="35">
        <f>+E2672*((1+INFLA!$D$5)^(1/-_xlfn.DAYS(CER!$A$2644,CER!$A$2674)))</f>
        <v>768.59971629661186</v>
      </c>
    </row>
    <row r="2674" spans="1:5" x14ac:dyDescent="0.3">
      <c r="A2674" s="51">
        <v>46157</v>
      </c>
      <c r="B2674" s="52">
        <v>770.89823475194999</v>
      </c>
      <c r="C2674" s="35">
        <f>+C2673*((1+INFLA!$B$5)^(1/-_xlfn.DAYS(CER!$A$2644,CER!$A$2674)))</f>
        <v>765.67938790159826</v>
      </c>
      <c r="D2674" s="35">
        <f>+D2673*((1+INFLA!$C$5)^(1/-_xlfn.DAYS(CER!$A$2644,CER!$A$2674)))</f>
        <v>767.91603655174697</v>
      </c>
      <c r="E2674" s="35">
        <f>+E2673*((1+INFLA!$D$5)^(1/-_xlfn.DAYS(CER!$A$2644,CER!$A$2674)))</f>
        <v>769.40713565184569</v>
      </c>
    </row>
    <row r="2675" spans="1:5" x14ac:dyDescent="0.3">
      <c r="A2675" s="22">
        <v>46158</v>
      </c>
      <c r="B2675" s="35" t="e">
        <f>+B2674*((1+#REF!)^(1/#REF!))</f>
        <v>#REF!</v>
      </c>
      <c r="C2675" s="35">
        <f>+C2674*((1+INFLA!$B$6)^(1/-_xlfn.DAYS($A$2674,$A$2705)))</f>
        <v>766.19287490372744</v>
      </c>
      <c r="D2675" s="35">
        <f>+D2674*((1+INFLA!$C$6)^(1/-_xlfn.DAYS(CER!$A$2644,CER!$A$2674)))</f>
        <v>768.47327191580348</v>
      </c>
      <c r="E2675" s="35">
        <f>+E2674*((1+INFLA!$D$6)^(1/-_xlfn.DAYS(CER!$A$2644,CER!$A$2674)))</f>
        <v>770.09072220060386</v>
      </c>
    </row>
    <row r="2676" spans="1:5" x14ac:dyDescent="0.3">
      <c r="A2676" s="22">
        <v>46159</v>
      </c>
      <c r="B2676" s="35" t="e">
        <f>+B2675*((1+#REF!)^(1/#REF!))</f>
        <v>#REF!</v>
      </c>
      <c r="C2676" s="35">
        <f>+C2675*((1+INFLA!$B$6)^(1/-_xlfn.DAYS($A$2674,$A$2705)))</f>
        <v>766.70670626526532</v>
      </c>
      <c r="D2676" s="35">
        <f>+D2675*((1+INFLA!$C$6)^(1/-_xlfn.DAYS(CER!$A$2644,CER!$A$2674)))</f>
        <v>769.03091163559179</v>
      </c>
      <c r="E2676" s="35">
        <f>+E2675*((1+INFLA!$D$6)^(1/-_xlfn.DAYS(CER!$A$2644,CER!$A$2674)))</f>
        <v>770.77491608785419</v>
      </c>
    </row>
    <row r="2677" spans="1:5" x14ac:dyDescent="0.3">
      <c r="A2677" s="22">
        <v>46160</v>
      </c>
      <c r="B2677" s="35" t="e">
        <f>+B2676*((1+#REF!)^(1/#REF!))</f>
        <v>#REF!</v>
      </c>
      <c r="C2677" s="35">
        <f>+C2676*((1+INFLA!$B$6)^(1/-_xlfn.DAYS($A$2674,$A$2705)))</f>
        <v>767.22088221714955</v>
      </c>
      <c r="D2677" s="35">
        <f>+D2676*((1+INFLA!$C$6)^(1/-_xlfn.DAYS(CER!$A$2644,CER!$A$2674)))</f>
        <v>769.58895600453116</v>
      </c>
      <c r="E2677" s="35">
        <f>+E2676*((1+INFLA!$D$6)^(1/-_xlfn.DAYS(CER!$A$2644,CER!$A$2674)))</f>
        <v>771.45971785319193</v>
      </c>
    </row>
    <row r="2678" spans="1:5" x14ac:dyDescent="0.3">
      <c r="A2678" s="22">
        <v>46161</v>
      </c>
      <c r="B2678" s="35" t="e">
        <f>+B2677*((1+#REF!)^(1/#REF!))</f>
        <v>#REF!</v>
      </c>
      <c r="C2678" s="35">
        <f>+C2677*((1+INFLA!$B$6)^(1/-_xlfn.DAYS($A$2674,$A$2705)))</f>
        <v>767.73540299047249</v>
      </c>
      <c r="D2678" s="35">
        <f>+D2677*((1+INFLA!$C$6)^(1/-_xlfn.DAYS(CER!$A$2644,CER!$A$2674)))</f>
        <v>770.14740531625375</v>
      </c>
      <c r="E2678" s="35">
        <f>+E2677*((1+INFLA!$D$6)^(1/-_xlfn.DAYS(CER!$A$2644,CER!$A$2674)))</f>
        <v>772.14512803669174</v>
      </c>
    </row>
    <row r="2679" spans="1:5" x14ac:dyDescent="0.3">
      <c r="A2679" s="22">
        <v>46162</v>
      </c>
      <c r="B2679" s="35" t="e">
        <f>+B2678*((1+#REF!)^(1/#REF!))</f>
        <v>#REF!</v>
      </c>
      <c r="C2679" s="35">
        <f>+C2678*((1+INFLA!$B$6)^(1/-_xlfn.DAYS($A$2674,$A$2705)))</f>
        <v>768.25026881648148</v>
      </c>
      <c r="D2679" s="35">
        <f>+D2678*((1+INFLA!$C$6)^(1/-_xlfn.DAYS(CER!$A$2644,CER!$A$2674)))</f>
        <v>770.7062598646047</v>
      </c>
      <c r="E2679" s="35">
        <f>+E2678*((1+INFLA!$D$6)^(1/-_xlfn.DAYS(CER!$A$2644,CER!$A$2674)))</f>
        <v>772.83114717890817</v>
      </c>
    </row>
    <row r="2680" spans="1:5" x14ac:dyDescent="0.3">
      <c r="A2680" s="22">
        <v>46163</v>
      </c>
      <c r="B2680" s="35" t="e">
        <f>+B2679*((1+#REF!)^(1/#REF!))</f>
        <v>#REF!</v>
      </c>
      <c r="C2680" s="35">
        <f>+C2679*((1+INFLA!$B$6)^(1/-_xlfn.DAYS($A$2674,$A$2705)))</f>
        <v>768.76547992657891</v>
      </c>
      <c r="D2680" s="35">
        <f>+D2679*((1+INFLA!$C$6)^(1/-_xlfn.DAYS(CER!$A$2644,CER!$A$2674)))</f>
        <v>771.2655199436424</v>
      </c>
      <c r="E2680" s="35">
        <f>+E2679*((1+INFLA!$D$6)^(1/-_xlfn.DAYS(CER!$A$2644,CER!$A$2674)))</f>
        <v>773.51777582087584</v>
      </c>
    </row>
    <row r="2681" spans="1:5" x14ac:dyDescent="0.3">
      <c r="A2681" s="22">
        <v>46164</v>
      </c>
      <c r="B2681" s="35" t="e">
        <f>+B2680*((1+#REF!)^(1/#REF!))</f>
        <v>#REF!</v>
      </c>
      <c r="C2681" s="35">
        <f>+C2680*((1+INFLA!$B$6)^(1/-_xlfn.DAYS($A$2674,$A$2705)))</f>
        <v>769.28103655232235</v>
      </c>
      <c r="D2681" s="35">
        <f>+D2680*((1+INFLA!$C$6)^(1/-_xlfn.DAYS(CER!$A$2644,CER!$A$2674)))</f>
        <v>771.82518584763875</v>
      </c>
      <c r="E2681" s="35">
        <f>+E2680*((1+INFLA!$D$6)^(1/-_xlfn.DAYS(CER!$A$2644,CER!$A$2674)))</f>
        <v>774.20501450411018</v>
      </c>
    </row>
    <row r="2682" spans="1:5" x14ac:dyDescent="0.3">
      <c r="A2682" s="22">
        <v>46165</v>
      </c>
      <c r="B2682" s="35" t="e">
        <f>+B2681*((1+#REF!)^(1/#REF!))</f>
        <v>#REF!</v>
      </c>
      <c r="C2682" s="35">
        <f>+C2681*((1+INFLA!$B$6)^(1/-_xlfn.DAYS($A$2674,$A$2705)))</f>
        <v>769.7969389254248</v>
      </c>
      <c r="D2682" s="35">
        <f>+D2681*((1+INFLA!$C$6)^(1/-_xlfn.DAYS(CER!$A$2644,CER!$A$2674)))</f>
        <v>772.38525787107903</v>
      </c>
      <c r="E2682" s="35">
        <f>+E2681*((1+INFLA!$D$6)^(1/-_xlfn.DAYS(CER!$A$2644,CER!$A$2674)))</f>
        <v>774.89286377060773</v>
      </c>
    </row>
    <row r="2683" spans="1:5" x14ac:dyDescent="0.3">
      <c r="A2683" s="22">
        <v>46166</v>
      </c>
      <c r="B2683" s="35" t="e">
        <f>+B2682*((1+#REF!)^(1/#REF!))</f>
        <v>#REF!</v>
      </c>
      <c r="C2683" s="35">
        <f>+C2682*((1+INFLA!$B$6)^(1/-_xlfn.DAYS($A$2674,$A$2705)))</f>
        <v>770.31318727775442</v>
      </c>
      <c r="D2683" s="35">
        <f>+D2682*((1+INFLA!$C$6)^(1/-_xlfn.DAYS(CER!$A$2644,CER!$A$2674)))</f>
        <v>772.94573630866228</v>
      </c>
      <c r="E2683" s="35">
        <f>+E2682*((1+INFLA!$D$6)^(1/-_xlfn.DAYS(CER!$A$2644,CER!$A$2674)))</f>
        <v>775.58132416284661</v>
      </c>
    </row>
    <row r="2684" spans="1:5" x14ac:dyDescent="0.3">
      <c r="A2684" s="22">
        <v>46167</v>
      </c>
      <c r="B2684" s="35" t="e">
        <f>+B2683*((1+#REF!)^(1/#REF!))</f>
        <v>#REF!</v>
      </c>
      <c r="C2684" s="35">
        <f>+C2683*((1+INFLA!$B$6)^(1/-_xlfn.DAYS($A$2674,$A$2705)))</f>
        <v>770.82978184133515</v>
      </c>
      <c r="D2684" s="35">
        <f>+D2683*((1+INFLA!$C$6)^(1/-_xlfn.DAYS(CER!$A$2644,CER!$A$2674)))</f>
        <v>773.50662145530146</v>
      </c>
      <c r="E2684" s="35">
        <f>+E2683*((1+INFLA!$D$6)^(1/-_xlfn.DAYS(CER!$A$2644,CER!$A$2674)))</f>
        <v>776.27039622378686</v>
      </c>
    </row>
    <row r="2685" spans="1:5" x14ac:dyDescent="0.3">
      <c r="A2685" s="22">
        <v>46168</v>
      </c>
      <c r="B2685" s="35" t="e">
        <f>+B2684*((1+#REF!)^(1/#REF!))</f>
        <v>#REF!</v>
      </c>
      <c r="C2685" s="35">
        <f>+C2684*((1+INFLA!$B$6)^(1/-_xlfn.DAYS($A$2674,$A$2705)))</f>
        <v>771.3467228483463</v>
      </c>
      <c r="D2685" s="35">
        <f>+D2684*((1+INFLA!$C$6)^(1/-_xlfn.DAYS(CER!$A$2644,CER!$A$2674)))</f>
        <v>774.0679136061234</v>
      </c>
      <c r="E2685" s="35">
        <f>+E2684*((1+INFLA!$D$6)^(1/-_xlfn.DAYS(CER!$A$2644,CER!$A$2674)))</f>
        <v>776.960080496871</v>
      </c>
    </row>
    <row r="2686" spans="1:5" x14ac:dyDescent="0.3">
      <c r="A2686" s="22">
        <v>46169</v>
      </c>
      <c r="B2686" s="35" t="e">
        <f>+B2685*((1+#REF!)^(1/#REF!))</f>
        <v>#REF!</v>
      </c>
      <c r="C2686" s="35">
        <f>+C2685*((1+INFLA!$B$6)^(1/-_xlfn.DAYS($A$2674,$A$2705)))</f>
        <v>771.86401053112309</v>
      </c>
      <c r="D2686" s="35">
        <f>+D2685*((1+INFLA!$C$6)^(1/-_xlfn.DAYS(CER!$A$2644,CER!$A$2674)))</f>
        <v>774.62961305646911</v>
      </c>
      <c r="E2686" s="35">
        <f>+E2685*((1+INFLA!$D$6)^(1/-_xlfn.DAYS(CER!$A$2644,CER!$A$2674)))</f>
        <v>777.65037752602416</v>
      </c>
    </row>
    <row r="2687" spans="1:5" x14ac:dyDescent="0.3">
      <c r="A2687" s="22">
        <v>46170</v>
      </c>
      <c r="B2687" s="35" t="e">
        <f>+B2686*((1+#REF!)^(1/#REF!))</f>
        <v>#REF!</v>
      </c>
      <c r="C2687" s="35">
        <f>+C2686*((1+INFLA!$B$6)^(1/-_xlfn.DAYS($A$2674,$A$2705)))</f>
        <v>772.38164512215633</v>
      </c>
      <c r="D2687" s="35">
        <f>+D2686*((1+INFLA!$C$6)^(1/-_xlfn.DAYS(CER!$A$2644,CER!$A$2674)))</f>
        <v>775.19172010189402</v>
      </c>
      <c r="E2687" s="35">
        <f>+E2686*((1+INFLA!$D$6)^(1/-_xlfn.DAYS(CER!$A$2644,CER!$A$2674)))</f>
        <v>778.34128785565497</v>
      </c>
    </row>
    <row r="2688" spans="1:5" x14ac:dyDescent="0.3">
      <c r="A2688" s="22">
        <v>46171</v>
      </c>
      <c r="B2688" s="35" t="e">
        <f>+B2687*((1+#REF!)^(1/#REF!))</f>
        <v>#REF!</v>
      </c>
      <c r="C2688" s="35">
        <f>+C2687*((1+INFLA!$B$6)^(1/-_xlfn.DAYS($A$2674,$A$2705)))</f>
        <v>772.89962685409284</v>
      </c>
      <c r="D2688" s="35">
        <f>+D2687*((1+INFLA!$C$6)^(1/-_xlfn.DAYS(CER!$A$2644,CER!$A$2674)))</f>
        <v>775.75423503816785</v>
      </c>
      <c r="E2688" s="35">
        <f>+E2687*((1+INFLA!$D$6)^(1/-_xlfn.DAYS(CER!$A$2644,CER!$A$2674)))</f>
        <v>779.03281203065558</v>
      </c>
    </row>
    <row r="2689" spans="1:5" x14ac:dyDescent="0.3">
      <c r="A2689" s="22">
        <v>46172</v>
      </c>
      <c r="B2689" s="35" t="e">
        <f>+B2688*((1+#REF!)^(1/#REF!))</f>
        <v>#REF!</v>
      </c>
      <c r="C2689" s="35">
        <f>+C2688*((1+INFLA!$B$6)^(1/-_xlfn.DAYS($A$2674,$A$2705)))</f>
        <v>773.41795595973542</v>
      </c>
      <c r="D2689" s="35">
        <f>+D2688*((1+INFLA!$C$6)^(1/-_xlfn.DAYS(CER!$A$2644,CER!$A$2674)))</f>
        <v>776.31715816127519</v>
      </c>
      <c r="E2689" s="35">
        <f>+E2688*((1+INFLA!$D$6)^(1/-_xlfn.DAYS(CER!$A$2644,CER!$A$2674)))</f>
        <v>779.72495059640232</v>
      </c>
    </row>
    <row r="2690" spans="1:5" x14ac:dyDescent="0.3">
      <c r="A2690" s="22">
        <v>46173</v>
      </c>
      <c r="B2690" s="35" t="e">
        <f>+B2689*((1+#REF!)^(1/#REF!))</f>
        <v>#REF!</v>
      </c>
      <c r="C2690" s="35">
        <f>+C2689*((1+INFLA!$B$6)^(1/-_xlfn.DAYS($A$2674,$A$2705)))</f>
        <v>773.93663267204317</v>
      </c>
      <c r="D2690" s="35">
        <f>+D2689*((1+INFLA!$C$6)^(1/-_xlfn.DAYS(CER!$A$2644,CER!$A$2674)))</f>
        <v>776.88048976741516</v>
      </c>
      <c r="E2690" s="35">
        <f>+E2689*((1+INFLA!$D$6)^(1/-_xlfn.DAYS(CER!$A$2644,CER!$A$2674)))</f>
        <v>780.41770409875619</v>
      </c>
    </row>
    <row r="2691" spans="1:5" x14ac:dyDescent="0.3">
      <c r="A2691" s="22">
        <v>46174</v>
      </c>
      <c r="B2691" s="35" t="e">
        <f>+B2690*((1+#REF!)^(1/#REF!))</f>
        <v>#REF!</v>
      </c>
      <c r="C2691" s="35">
        <f>+C2690*((1+INFLA!$B$6)^(1/-_xlfn.DAYS($A$2674,$A$2705)))</f>
        <v>774.45565722413119</v>
      </c>
      <c r="D2691" s="35">
        <f>+D2690*((1+INFLA!$C$6)^(1/-_xlfn.DAYS(CER!$A$2644,CER!$A$2674)))</f>
        <v>777.44423015300197</v>
      </c>
      <c r="E2691" s="35">
        <f>+E2690*((1+INFLA!$D$6)^(1/-_xlfn.DAYS(CER!$A$2644,CER!$A$2674)))</f>
        <v>781.11107308406292</v>
      </c>
    </row>
    <row r="2692" spans="1:5" x14ac:dyDescent="0.3">
      <c r="A2692" s="22">
        <v>46175</v>
      </c>
      <c r="B2692" s="35" t="e">
        <f>+B2691*((1+#REF!)^(1/#REF!))</f>
        <v>#REF!</v>
      </c>
      <c r="C2692" s="35">
        <f>+C2691*((1+INFLA!$B$6)^(1/-_xlfn.DAYS($A$2674,$A$2705)))</f>
        <v>774.9750298492711</v>
      </c>
      <c r="D2692" s="35">
        <f>+D2691*((1+INFLA!$C$6)^(1/-_xlfn.DAYS(CER!$A$2644,CER!$A$2674)))</f>
        <v>778.00837961466482</v>
      </c>
      <c r="E2692" s="35">
        <f>+E2691*((1+INFLA!$D$6)^(1/-_xlfn.DAYS(CER!$A$2644,CER!$A$2674)))</f>
        <v>781.80505809915371</v>
      </c>
    </row>
    <row r="2693" spans="1:5" x14ac:dyDescent="0.3">
      <c r="A2693" s="22">
        <v>46176</v>
      </c>
      <c r="B2693" s="35" t="e">
        <f>+B2692*((1+#REF!)^(1/#REF!))</f>
        <v>#REF!</v>
      </c>
      <c r="C2693" s="35">
        <f>+C2692*((1+INFLA!$B$6)^(1/-_xlfn.DAYS($A$2674,$A$2705)))</f>
        <v>775.49475078089085</v>
      </c>
      <c r="D2693" s="35">
        <f>+D2692*((1+INFLA!$C$6)^(1/-_xlfn.DAYS(CER!$A$2644,CER!$A$2674)))</f>
        <v>778.57293844924823</v>
      </c>
      <c r="E2693" s="35">
        <f>+E2692*((1+INFLA!$D$6)^(1/-_xlfn.DAYS(CER!$A$2644,CER!$A$2674)))</f>
        <v>782.49965969134576</v>
      </c>
    </row>
    <row r="2694" spans="1:5" x14ac:dyDescent="0.3">
      <c r="A2694" s="22">
        <v>46177</v>
      </c>
      <c r="B2694" s="35" t="e">
        <f>+B2693*((1+#REF!)^(1/#REF!))</f>
        <v>#REF!</v>
      </c>
      <c r="C2694" s="35">
        <f>+C2693*((1+INFLA!$B$6)^(1/-_xlfn.DAYS($A$2674,$A$2705)))</f>
        <v>776.01482025257496</v>
      </c>
      <c r="D2694" s="35">
        <f>+D2693*((1+INFLA!$C$6)^(1/-_xlfn.DAYS(CER!$A$2644,CER!$A$2674)))</f>
        <v>779.13790695381215</v>
      </c>
      <c r="E2694" s="35">
        <f>+E2693*((1+INFLA!$D$6)^(1/-_xlfn.DAYS(CER!$A$2644,CER!$A$2674)))</f>
        <v>783.19487840844238</v>
      </c>
    </row>
    <row r="2695" spans="1:5" x14ac:dyDescent="0.3">
      <c r="A2695" s="22">
        <v>46178</v>
      </c>
      <c r="B2695" s="35" t="e">
        <f>+B2694*((1+#REF!)^(1/#REF!))</f>
        <v>#REF!</v>
      </c>
      <c r="C2695" s="35">
        <f>+C2694*((1+INFLA!$B$6)^(1/-_xlfn.DAYS($A$2674,$A$2705)))</f>
        <v>776.53523849806447</v>
      </c>
      <c r="D2695" s="35">
        <f>+D2694*((1+INFLA!$C$6)^(1/-_xlfn.DAYS(CER!$A$2644,CER!$A$2674)))</f>
        <v>779.70328542563209</v>
      </c>
      <c r="E2695" s="35">
        <f>+E2694*((1+INFLA!$D$6)^(1/-_xlfn.DAYS(CER!$A$2644,CER!$A$2674)))</f>
        <v>783.8907147987336</v>
      </c>
    </row>
    <row r="2696" spans="1:5" x14ac:dyDescent="0.3">
      <c r="A2696" s="22">
        <v>46179</v>
      </c>
      <c r="B2696" s="35" t="e">
        <f>+B2695*((1+#REF!)^(1/#REF!))</f>
        <v>#REF!</v>
      </c>
      <c r="C2696" s="35">
        <f>+C2695*((1+INFLA!$B$6)^(1/-_xlfn.DAYS($A$2674,$A$2705)))</f>
        <v>777.05600575125743</v>
      </c>
      <c r="D2696" s="35">
        <f>+D2695*((1+INFLA!$C$6)^(1/-_xlfn.DAYS(CER!$A$2644,CER!$A$2674)))</f>
        <v>780.26907416219922</v>
      </c>
      <c r="E2696" s="35">
        <f>+E2695*((1+INFLA!$D$6)^(1/-_xlfn.DAYS(CER!$A$2644,CER!$A$2674)))</f>
        <v>784.58716941099669</v>
      </c>
    </row>
    <row r="2697" spans="1:5" x14ac:dyDescent="0.3">
      <c r="A2697" s="22">
        <v>46180</v>
      </c>
      <c r="B2697" s="35" t="e">
        <f>+B2696*((1+#REF!)^(1/#REF!))</f>
        <v>#REF!</v>
      </c>
      <c r="C2697" s="35">
        <f>+C2696*((1+INFLA!$B$6)^(1/-_xlfn.DAYS($A$2674,$A$2705)))</f>
        <v>777.57712224620866</v>
      </c>
      <c r="D2697" s="35">
        <f>+D2696*((1+INFLA!$C$6)^(1/-_xlfn.DAYS(CER!$A$2644,CER!$A$2674)))</f>
        <v>780.83527346122048</v>
      </c>
      <c r="E2697" s="35">
        <f>+E2696*((1+INFLA!$D$6)^(1/-_xlfn.DAYS(CER!$A$2644,CER!$A$2674)))</f>
        <v>785.28424279449632</v>
      </c>
    </row>
    <row r="2698" spans="1:5" x14ac:dyDescent="0.3">
      <c r="A2698" s="22">
        <v>46181</v>
      </c>
      <c r="B2698" s="35" t="e">
        <f>+B2697*((1+#REF!)^(1/#REF!))</f>
        <v>#REF!</v>
      </c>
      <c r="C2698" s="35">
        <f>+C2697*((1+INFLA!$B$6)^(1/-_xlfn.DAYS($A$2674,$A$2705)))</f>
        <v>778.09858821712976</v>
      </c>
      <c r="D2698" s="35">
        <f>+D2697*((1+INFLA!$C$6)^(1/-_xlfn.DAYS(CER!$A$2644,CER!$A$2674)))</f>
        <v>781.40188362061906</v>
      </c>
      <c r="E2698" s="35">
        <f>+E2697*((1+INFLA!$D$6)^(1/-_xlfn.DAYS(CER!$A$2644,CER!$A$2674)))</f>
        <v>785.98193549898531</v>
      </c>
    </row>
    <row r="2699" spans="1:5" x14ac:dyDescent="0.3">
      <c r="A2699" s="22">
        <v>46182</v>
      </c>
      <c r="B2699" s="35" t="e">
        <f>+B2698*((1+#REF!)^(1/#REF!))</f>
        <v>#REF!</v>
      </c>
      <c r="C2699" s="35">
        <f>+C2698*((1+INFLA!$B$6)^(1/-_xlfn.DAYS($A$2674,$A$2705)))</f>
        <v>778.62040389838967</v>
      </c>
      <c r="D2699" s="35">
        <f>+D2698*((1+INFLA!$C$6)^(1/-_xlfn.DAYS(CER!$A$2644,CER!$A$2674)))</f>
        <v>781.96890493853425</v>
      </c>
      <c r="E2699" s="35">
        <f>+E2698*((1+INFLA!$D$6)^(1/-_xlfn.DAYS(CER!$A$2644,CER!$A$2674)))</f>
        <v>786.68024807470488</v>
      </c>
    </row>
    <row r="2700" spans="1:5" x14ac:dyDescent="0.3">
      <c r="A2700" s="22">
        <v>46183</v>
      </c>
      <c r="B2700" s="35" t="e">
        <f>+B2699*((1+#REF!)^(1/#REF!))</f>
        <v>#REF!</v>
      </c>
      <c r="C2700" s="35">
        <f>+C2699*((1+INFLA!$B$6)^(1/-_xlfn.DAYS($A$2674,$A$2705)))</f>
        <v>779.14256952451433</v>
      </c>
      <c r="D2700" s="35">
        <f>+D2699*((1+INFLA!$C$6)^(1/-_xlfn.DAYS(CER!$A$2644,CER!$A$2674)))</f>
        <v>782.5363377133217</v>
      </c>
      <c r="E2700" s="35">
        <f>+E2699*((1+INFLA!$D$6)^(1/-_xlfn.DAYS(CER!$A$2644,CER!$A$2674)))</f>
        <v>787.37918107238499</v>
      </c>
    </row>
    <row r="2701" spans="1:5" x14ac:dyDescent="0.3">
      <c r="A2701" s="22">
        <v>46184</v>
      </c>
      <c r="B2701" s="35" t="e">
        <f>+B2700*((1+#REF!)^(1/#REF!))</f>
        <v>#REF!</v>
      </c>
      <c r="C2701" s="35">
        <f>+C2700*((1+INFLA!$B$6)^(1/-_xlfn.DAYS($A$2674,$A$2705)))</f>
        <v>779.66508533018691</v>
      </c>
      <c r="D2701" s="35">
        <f>+D2700*((1+INFLA!$C$6)^(1/-_xlfn.DAYS(CER!$A$2644,CER!$A$2674)))</f>
        <v>783.1041822435534</v>
      </c>
      <c r="E2701" s="35">
        <f>+E2700*((1+INFLA!$D$6)^(1/-_xlfn.DAYS(CER!$A$2644,CER!$A$2674)))</f>
        <v>788.07873504324505</v>
      </c>
    </row>
    <row r="2702" spans="1:5" x14ac:dyDescent="0.3">
      <c r="A2702" s="22">
        <v>46185</v>
      </c>
      <c r="B2702" s="35" t="e">
        <f>+B2701*((1+#REF!)^(1/#REF!))</f>
        <v>#REF!</v>
      </c>
      <c r="C2702" s="35">
        <f>+C2701*((1+INFLA!$B$6)^(1/-_xlfn.DAYS($A$2674,$A$2705)))</f>
        <v>780.18795155024816</v>
      </c>
      <c r="D2702" s="35">
        <f>+D2701*((1+INFLA!$C$6)^(1/-_xlfn.DAYS(CER!$A$2644,CER!$A$2674)))</f>
        <v>783.67243882801824</v>
      </c>
      <c r="E2702" s="35">
        <f>+E2701*((1+INFLA!$D$6)^(1/-_xlfn.DAYS(CER!$A$2644,CER!$A$2674)))</f>
        <v>788.77891053899418</v>
      </c>
    </row>
    <row r="2703" spans="1:5" x14ac:dyDescent="0.3">
      <c r="A2703" s="22">
        <v>46186</v>
      </c>
      <c r="B2703" s="35" t="e">
        <f>+B2702*((1+#REF!)^(1/#REF!))</f>
        <v>#REF!</v>
      </c>
      <c r="C2703" s="35">
        <f>+C2702*((1+INFLA!$B$6)^(1/-_xlfn.DAYS($A$2674,$A$2705)))</f>
        <v>780.71116841969626</v>
      </c>
      <c r="D2703" s="35">
        <f>+D2702*((1+INFLA!$C$6)^(1/-_xlfn.DAYS(CER!$A$2644,CER!$A$2674)))</f>
        <v>784.24110776572172</v>
      </c>
      <c r="E2703" s="35">
        <f>+E2702*((1+INFLA!$D$6)^(1/-_xlfn.DAYS(CER!$A$2644,CER!$A$2674)))</f>
        <v>789.47970811183154</v>
      </c>
    </row>
    <row r="2704" spans="1:5" x14ac:dyDescent="0.3">
      <c r="A2704" s="22">
        <v>46187</v>
      </c>
      <c r="B2704" s="35" t="e">
        <f>+B2703*((1+#REF!)^(1/#REF!))</f>
        <v>#REF!</v>
      </c>
      <c r="C2704" s="35">
        <f>+C2703*((1+INFLA!$B$6)^(1/-_xlfn.DAYS($A$2674,$A$2705)))</f>
        <v>781.23473617368688</v>
      </c>
      <c r="D2704" s="35">
        <f>+D2703*((1+INFLA!$C$6)^(1/-_xlfn.DAYS(CER!$A$2644,CER!$A$2674)))</f>
        <v>784.81018935588656</v>
      </c>
      <c r="E2704" s="35">
        <f>+E2703*((1+INFLA!$D$6)^(1/-_xlfn.DAYS(CER!$A$2644,CER!$A$2674)))</f>
        <v>790.18112831444716</v>
      </c>
    </row>
    <row r="2705" spans="1:5" x14ac:dyDescent="0.3">
      <c r="A2705" s="29">
        <v>46188</v>
      </c>
      <c r="B2705" s="35" t="e">
        <f>+B2704*((1+#REF!)^(1/#REF!))</f>
        <v>#REF!</v>
      </c>
      <c r="C2705" s="35">
        <f>+C2704*((1+INFLA!$B$6)^(1/-_xlfn.DAYS($A$2674,$A$2705)))</f>
        <v>781.75865504753347</v>
      </c>
      <c r="D2705" s="35">
        <f>+D2704*((1+INFLA!$C$6)^(1/-_xlfn.DAYS(CER!$A$2644,CER!$A$2674)))</f>
        <v>785.3796838979523</v>
      </c>
      <c r="E2705" s="35">
        <f>+E2704*((1+INFLA!$D$6)^(1/-_xlfn.DAYS(CER!$A$2644,CER!$A$2674)))</f>
        <v>790.88317170002188</v>
      </c>
    </row>
    <row r="2706" spans="1:5" x14ac:dyDescent="0.3">
      <c r="A2706" s="22">
        <v>46189</v>
      </c>
      <c r="B2706" s="35" t="e">
        <f>+B2705*(1+#REF!)^(1/#REF!)</f>
        <v>#REF!</v>
      </c>
      <c r="C2706" s="35">
        <f>+C2705*((1+INFLA!$B$7)^(1/-_xlfn.DAYS($A$2705,$A$2735)))</f>
        <v>782.24927791384914</v>
      </c>
      <c r="D2706" s="35">
        <f>+D2705*((1+INFLA!$C$7)^(1/-_xlfn.DAYS(CER!$A$2644,CER!$A$2674)))</f>
        <v>785.87257928090992</v>
      </c>
      <c r="E2706" s="35">
        <f>+E2705*((1+INFLA!$D$7)^(1/-_xlfn.DAYS(CER!$A$2644,CER!$A$2674)))</f>
        <v>791.50865229766077</v>
      </c>
    </row>
    <row r="2707" spans="1:5" x14ac:dyDescent="0.3">
      <c r="A2707" s="22">
        <v>46190</v>
      </c>
      <c r="B2707" s="35" t="e">
        <f>+B2706*(1+#REF!)^(1/#REF!)</f>
        <v>#REF!</v>
      </c>
      <c r="C2707" s="35">
        <f>+C2706*((1+INFLA!$B$7)^(1/-_xlfn.DAYS($A$2705,$A$2735)))</f>
        <v>782.74020868951175</v>
      </c>
      <c r="D2707" s="35">
        <f>+D2706*((1+INFLA!$C$7)^(1/-_xlfn.DAYS(CER!$A$2644,CER!$A$2674)))</f>
        <v>786.36578399942016</v>
      </c>
      <c r="E2707" s="35">
        <f>+E2706*((1+INFLA!$D$7)^(1/-_xlfn.DAYS(CER!$A$2644,CER!$A$2674)))</f>
        <v>792.13462756504612</v>
      </c>
    </row>
    <row r="2708" spans="1:5" x14ac:dyDescent="0.3">
      <c r="A2708" s="22">
        <v>46191</v>
      </c>
      <c r="B2708" s="35" t="e">
        <f>+B2707*(1+#REF!)^(1/#REF!)</f>
        <v>#REF!</v>
      </c>
      <c r="C2708" s="35">
        <f>+C2707*((1+INFLA!$B$7)^(1/-_xlfn.DAYS($A$2705,$A$2735)))</f>
        <v>783.23144756776173</v>
      </c>
      <c r="D2708" s="35">
        <f>+D2707*((1+INFLA!$C$7)^(1/-_xlfn.DAYS(CER!$A$2644,CER!$A$2674)))</f>
        <v>786.85929824761854</v>
      </c>
      <c r="E2708" s="35">
        <f>+E2707*((1+INFLA!$D$7)^(1/-_xlfn.DAYS(CER!$A$2644,CER!$A$2674)))</f>
        <v>792.76109789339409</v>
      </c>
    </row>
    <row r="2709" spans="1:5" x14ac:dyDescent="0.3">
      <c r="A2709" s="22">
        <v>46192</v>
      </c>
      <c r="B2709" s="35" t="e">
        <f>+B2708*(1+#REF!)^(1/#REF!)</f>
        <v>#REF!</v>
      </c>
      <c r="C2709" s="35">
        <f>+C2708*((1+INFLA!$B$7)^(1/-_xlfn.DAYS($A$2705,$A$2735)))</f>
        <v>783.72299474196075</v>
      </c>
      <c r="D2709" s="35">
        <f>+D2708*((1+INFLA!$C$7)^(1/-_xlfn.DAYS(CER!$A$2644,CER!$A$2674)))</f>
        <v>787.35312221976233</v>
      </c>
      <c r="E2709" s="35">
        <f>+E2708*((1+INFLA!$D$7)^(1/-_xlfn.DAYS(CER!$A$2644,CER!$A$2674)))</f>
        <v>793.38806367423035</v>
      </c>
    </row>
    <row r="2710" spans="1:5" x14ac:dyDescent="0.3">
      <c r="A2710" s="22">
        <v>46193</v>
      </c>
      <c r="B2710" s="35" t="e">
        <f>+B2709*(1+#REF!)^(1/#REF!)</f>
        <v>#REF!</v>
      </c>
      <c r="C2710" s="35">
        <f>+C2709*((1+INFLA!$B$7)^(1/-_xlfn.DAYS($A$2705,$A$2735)))</f>
        <v>784.21485040559185</v>
      </c>
      <c r="D2710" s="35">
        <f>+D2709*((1+INFLA!$C$7)^(1/-_xlfn.DAYS(CER!$A$2644,CER!$A$2674)))</f>
        <v>787.84725611023077</v>
      </c>
      <c r="E2710" s="35">
        <f>+E2709*((1+INFLA!$D$7)^(1/-_xlfn.DAYS(CER!$A$2644,CER!$A$2674)))</f>
        <v>794.01552529939022</v>
      </c>
    </row>
    <row r="2711" spans="1:5" x14ac:dyDescent="0.3">
      <c r="A2711" s="22">
        <v>46194</v>
      </c>
      <c r="B2711" s="35" t="e">
        <f>+B2710*(1+#REF!)^(1/#REF!)</f>
        <v>#REF!</v>
      </c>
      <c r="C2711" s="35">
        <f>+C2710*((1+INFLA!$B$7)^(1/-_xlfn.DAYS($A$2705,$A$2735)))</f>
        <v>784.70701475225951</v>
      </c>
      <c r="D2711" s="35">
        <f>+D2710*((1+INFLA!$C$7)^(1/-_xlfn.DAYS(CER!$A$2644,CER!$A$2674)))</f>
        <v>788.34170011352512</v>
      </c>
      <c r="E2711" s="35">
        <f>+E2710*((1+INFLA!$D$7)^(1/-_xlfn.DAYS(CER!$A$2644,CER!$A$2674)))</f>
        <v>794.64348316101882</v>
      </c>
    </row>
    <row r="2712" spans="1:5" x14ac:dyDescent="0.3">
      <c r="A2712" s="22">
        <v>46195</v>
      </c>
      <c r="B2712" s="35" t="e">
        <f>+B2711*(1+#REF!)^(1/#REF!)</f>
        <v>#REF!</v>
      </c>
      <c r="C2712" s="35">
        <f>+C2711*((1+INFLA!$B$7)^(1/-_xlfn.DAYS($A$2705,$A$2735)))</f>
        <v>785.19948797568975</v>
      </c>
      <c r="D2712" s="35">
        <f>+D2711*((1+INFLA!$C$7)^(1/-_xlfn.DAYS(CER!$A$2644,CER!$A$2674)))</f>
        <v>788.83645442426871</v>
      </c>
      <c r="E2712" s="35">
        <f>+E2711*((1+INFLA!$D$7)^(1/-_xlfn.DAYS(CER!$A$2644,CER!$A$2674)))</f>
        <v>795.27193765157142</v>
      </c>
    </row>
    <row r="2713" spans="1:5" x14ac:dyDescent="0.3">
      <c r="A2713" s="22">
        <v>46196</v>
      </c>
      <c r="B2713" s="35" t="e">
        <f>+B2712*(1+#REF!)^(1/#REF!)</f>
        <v>#REF!</v>
      </c>
      <c r="C2713" s="35">
        <f>+C2712*((1+INFLA!$B$7)^(1/-_xlfn.DAYS($A$2705,$A$2735)))</f>
        <v>785.6922702697301</v>
      </c>
      <c r="D2713" s="35">
        <f>+D2712*((1+INFLA!$C$7)^(1/-_xlfn.DAYS(CER!$A$2644,CER!$A$2674)))</f>
        <v>789.33151923720686</v>
      </c>
      <c r="E2713" s="35">
        <f>+E2712*((1+INFLA!$D$7)^(1/-_xlfn.DAYS(CER!$A$2644,CER!$A$2674)))</f>
        <v>795.90088916381376</v>
      </c>
    </row>
    <row r="2714" spans="1:5" x14ac:dyDescent="0.3">
      <c r="A2714" s="22">
        <v>46197</v>
      </c>
      <c r="B2714" s="35" t="e">
        <f>+B2713*(1+#REF!)^(1/#REF!)</f>
        <v>#REF!</v>
      </c>
      <c r="C2714" s="35">
        <f>+C2713*((1+INFLA!$B$7)^(1/-_xlfn.DAYS($A$2705,$A$2735)))</f>
        <v>786.18536182834976</v>
      </c>
      <c r="D2714" s="35">
        <f>+D2713*((1+INFLA!$C$7)^(1/-_xlfn.DAYS(CER!$A$2644,CER!$A$2674)))</f>
        <v>789.82689474720735</v>
      </c>
      <c r="E2714" s="35">
        <f>+E2713*((1+INFLA!$D$7)^(1/-_xlfn.DAYS(CER!$A$2644,CER!$A$2674)))</f>
        <v>796.53033809082206</v>
      </c>
    </row>
    <row r="2715" spans="1:5" x14ac:dyDescent="0.3">
      <c r="A2715" s="22">
        <v>46198</v>
      </c>
      <c r="B2715" s="35" t="e">
        <f>+B2714*(1+#REF!)^(1/#REF!)</f>
        <v>#REF!</v>
      </c>
      <c r="C2715" s="35">
        <f>+C2714*((1+INFLA!$B$7)^(1/-_xlfn.DAYS($A$2705,$A$2735)))</f>
        <v>786.67876284563965</v>
      </c>
      <c r="D2715" s="35">
        <f>+D2714*((1+INFLA!$C$7)^(1/-_xlfn.DAYS(CER!$A$2644,CER!$A$2674)))</f>
        <v>790.32258114926003</v>
      </c>
      <c r="E2715" s="35">
        <f>+E2714*((1+INFLA!$D$7)^(1/-_xlfn.DAYS(CER!$A$2644,CER!$A$2674)))</f>
        <v>797.16028482598347</v>
      </c>
    </row>
    <row r="2716" spans="1:5" x14ac:dyDescent="0.3">
      <c r="A2716" s="22">
        <v>46199</v>
      </c>
      <c r="B2716" s="35" t="e">
        <f>+B2715*(1+#REF!)^(1/#REF!)</f>
        <v>#REF!</v>
      </c>
      <c r="C2716" s="35">
        <f>+C2715*((1+INFLA!$B$7)^(1/-_xlfn.DAYS($A$2705,$A$2735)))</f>
        <v>787.1724735158125</v>
      </c>
      <c r="D2716" s="35">
        <f>+D2715*((1+INFLA!$C$7)^(1/-_xlfn.DAYS(CER!$A$2644,CER!$A$2674)))</f>
        <v>790.81857863847722</v>
      </c>
      <c r="E2716" s="35">
        <f>+E2715*((1+INFLA!$D$7)^(1/-_xlfn.DAYS(CER!$A$2644,CER!$A$2674)))</f>
        <v>797.79072976299631</v>
      </c>
    </row>
    <row r="2717" spans="1:5" x14ac:dyDescent="0.3">
      <c r="A2717" s="22">
        <v>46200</v>
      </c>
      <c r="B2717" s="35" t="e">
        <f>+B2716*(1+#REF!)^(1/#REF!)</f>
        <v>#REF!</v>
      </c>
      <c r="C2717" s="35">
        <f>+C2716*((1+INFLA!$B$7)^(1/-_xlfn.DAYS($A$2705,$A$2735)))</f>
        <v>787.66649403320298</v>
      </c>
      <c r="D2717" s="35">
        <f>+D2716*((1+INFLA!$C$7)^(1/-_xlfn.DAYS(CER!$A$2644,CER!$A$2674)))</f>
        <v>791.31488741009377</v>
      </c>
      <c r="E2717" s="35">
        <f>+E2716*((1+INFLA!$D$7)^(1/-_xlfn.DAYS(CER!$A$2644,CER!$A$2674)))</f>
        <v>798.42167329587016</v>
      </c>
    </row>
    <row r="2718" spans="1:5" x14ac:dyDescent="0.3">
      <c r="A2718" s="22">
        <v>46201</v>
      </c>
      <c r="B2718" s="35" t="e">
        <f>+B2717*(1+#REF!)^(1/#REF!)</f>
        <v>#REF!</v>
      </c>
      <c r="C2718" s="35">
        <f>+C2717*((1+INFLA!$B$7)^(1/-_xlfn.DAYS($A$2705,$A$2735)))</f>
        <v>788.16082459226777</v>
      </c>
      <c r="D2718" s="35">
        <f>+D2717*((1+INFLA!$C$7)^(1/-_xlfn.DAYS(CER!$A$2644,CER!$A$2674)))</f>
        <v>791.811507659467</v>
      </c>
      <c r="E2718" s="35">
        <f>+E2717*((1+INFLA!$D$7)^(1/-_xlfn.DAYS(CER!$A$2644,CER!$A$2674)))</f>
        <v>799.05311581892636</v>
      </c>
    </row>
    <row r="2719" spans="1:5" x14ac:dyDescent="0.3">
      <c r="A2719" s="22">
        <v>46202</v>
      </c>
      <c r="B2719" s="35" t="e">
        <f>+B2718*(1+#REF!)^(1/#REF!)</f>
        <v>#REF!</v>
      </c>
      <c r="C2719" s="35">
        <f>+C2718*((1+INFLA!$B$7)^(1/-_xlfn.DAYS($A$2705,$A$2735)))</f>
        <v>788.65546538758542</v>
      </c>
      <c r="D2719" s="35">
        <f>+D2718*((1+INFLA!$C$7)^(1/-_xlfn.DAYS(CER!$A$2644,CER!$A$2674)))</f>
        <v>792.30843958207674</v>
      </c>
      <c r="E2719" s="35">
        <f>+E2718*((1+INFLA!$D$7)^(1/-_xlfn.DAYS(CER!$A$2644,CER!$A$2674)))</f>
        <v>799.68505772679794</v>
      </c>
    </row>
    <row r="2720" spans="1:5" x14ac:dyDescent="0.3">
      <c r="A2720" s="22">
        <v>46203</v>
      </c>
      <c r="B2720" s="35" t="e">
        <f>+B2719*(1+#REF!)^(1/#REF!)</f>
        <v>#REF!</v>
      </c>
      <c r="C2720" s="35">
        <f>+C2719*((1+INFLA!$B$7)^(1/-_xlfn.DAYS($A$2705,$A$2735)))</f>
        <v>789.15041661385669</v>
      </c>
      <c r="D2720" s="35">
        <f>+D2719*((1+INFLA!$C$7)^(1/-_xlfn.DAYS(CER!$A$2644,CER!$A$2674)))</f>
        <v>792.80568337352565</v>
      </c>
      <c r="E2720" s="35">
        <f>+E2719*((1+INFLA!$D$7)^(1/-_xlfn.DAYS(CER!$A$2644,CER!$A$2674)))</f>
        <v>800.31749941443013</v>
      </c>
    </row>
    <row r="2721" spans="1:5" x14ac:dyDescent="0.3">
      <c r="A2721" s="22">
        <v>46204</v>
      </c>
      <c r="B2721" s="35" t="e">
        <f>+B2720*(1+#REF!)^(1/#REF!)</f>
        <v>#REF!</v>
      </c>
      <c r="C2721" s="35">
        <f>+C2720*((1+INFLA!$B$7)^(1/-_xlfn.DAYS($A$2705,$A$2735)))</f>
        <v>789.64567846590455</v>
      </c>
      <c r="D2721" s="35">
        <f>+D2720*((1+INFLA!$C$7)^(1/-_xlfn.DAYS(CER!$A$2644,CER!$A$2674)))</f>
        <v>793.30323922953903</v>
      </c>
      <c r="E2721" s="35">
        <f>+E2720*((1+INFLA!$D$7)^(1/-_xlfn.DAYS(CER!$A$2644,CER!$A$2674)))</f>
        <v>800.95044127708036</v>
      </c>
    </row>
    <row r="2722" spans="1:5" x14ac:dyDescent="0.3">
      <c r="A2722" s="22">
        <v>46205</v>
      </c>
      <c r="B2722" s="35" t="e">
        <f>+B2721*(1+#REF!)^(1/#REF!)</f>
        <v>#REF!</v>
      </c>
      <c r="C2722" s="35">
        <f>+C2721*((1+INFLA!$B$7)^(1/-_xlfn.DAYS($A$2705,$A$2735)))</f>
        <v>790.14125113867419</v>
      </c>
      <c r="D2722" s="35">
        <f>+D2721*((1+INFLA!$C$7)^(1/-_xlfn.DAYS(CER!$A$2644,CER!$A$2674)))</f>
        <v>793.80110734596508</v>
      </c>
      <c r="E2722" s="35">
        <f>+E2721*((1+INFLA!$D$7)^(1/-_xlfn.DAYS(CER!$A$2644,CER!$A$2674)))</f>
        <v>801.5838837103189</v>
      </c>
    </row>
    <row r="2723" spans="1:5" x14ac:dyDescent="0.3">
      <c r="A2723" s="22">
        <v>46206</v>
      </c>
      <c r="B2723" s="35" t="e">
        <f>+B2722*(1+#REF!)^(1/#REF!)</f>
        <v>#REF!</v>
      </c>
      <c r="C2723" s="35">
        <f>+C2722*((1+INFLA!$B$7)^(1/-_xlfn.DAYS($A$2705,$A$2735)))</f>
        <v>790.63713482723313</v>
      </c>
      <c r="D2723" s="35">
        <f>+D2722*((1+INFLA!$C$7)^(1/-_xlfn.DAYS(CER!$A$2644,CER!$A$2674)))</f>
        <v>794.29928791877489</v>
      </c>
      <c r="E2723" s="35">
        <f>+E2722*((1+INFLA!$D$7)^(1/-_xlfn.DAYS(CER!$A$2644,CER!$A$2674)))</f>
        <v>802.21782711002868</v>
      </c>
    </row>
    <row r="2724" spans="1:5" x14ac:dyDescent="0.3">
      <c r="A2724" s="22">
        <v>46207</v>
      </c>
      <c r="B2724" s="35" t="e">
        <f>+B2723*(1+#REF!)^(1/#REF!)</f>
        <v>#REF!</v>
      </c>
      <c r="C2724" s="35">
        <f>+C2723*((1+INFLA!$B$7)^(1/-_xlfn.DAYS($A$2705,$A$2735)))</f>
        <v>791.13332972677142</v>
      </c>
      <c r="D2724" s="35">
        <f>+D2723*((1+INFLA!$C$7)^(1/-_xlfn.DAYS(CER!$A$2644,CER!$A$2674)))</f>
        <v>794.79778114406258</v>
      </c>
      <c r="E2724" s="35">
        <f>+E2723*((1+INFLA!$D$7)^(1/-_xlfn.DAYS(CER!$A$2644,CER!$A$2674)))</f>
        <v>802.85227187240582</v>
      </c>
    </row>
    <row r="2725" spans="1:5" x14ac:dyDescent="0.3">
      <c r="A2725" s="22">
        <v>46208</v>
      </c>
      <c r="B2725" s="35" t="e">
        <f>+B2724*(1+#REF!)^(1/#REF!)</f>
        <v>#REF!</v>
      </c>
      <c r="C2725" s="35">
        <f>+C2724*((1+INFLA!$B$7)^(1/-_xlfn.DAYS($A$2705,$A$2735)))</f>
        <v>791.62983603260159</v>
      </c>
      <c r="D2725" s="35">
        <f>+D2724*((1+INFLA!$C$7)^(1/-_xlfn.DAYS(CER!$A$2644,CER!$A$2674)))</f>
        <v>795.29658721804526</v>
      </c>
      <c r="E2725" s="35">
        <f>+E2724*((1+INFLA!$D$7)^(1/-_xlfn.DAYS(CER!$A$2644,CER!$A$2674)))</f>
        <v>803.48721839395978</v>
      </c>
    </row>
    <row r="2726" spans="1:5" x14ac:dyDescent="0.3">
      <c r="A2726" s="22">
        <v>46209</v>
      </c>
      <c r="B2726" s="35" t="e">
        <f>+B2725*(1+#REF!)^(1/#REF!)</f>
        <v>#REF!</v>
      </c>
      <c r="C2726" s="35">
        <f>+C2725*((1+INFLA!$B$7)^(1/-_xlfn.DAYS($A$2705,$A$2735)))</f>
        <v>792.12665394015858</v>
      </c>
      <c r="D2726" s="35">
        <f>+D2725*((1+INFLA!$C$7)^(1/-_xlfn.DAYS(CER!$A$2644,CER!$A$2674)))</f>
        <v>795.79570633706317</v>
      </c>
      <c r="E2726" s="35">
        <f>+E2725*((1+INFLA!$D$7)^(1/-_xlfn.DAYS(CER!$A$2644,CER!$A$2674)))</f>
        <v>804.12266707151343</v>
      </c>
    </row>
    <row r="2727" spans="1:5" x14ac:dyDescent="0.3">
      <c r="A2727" s="22">
        <v>46210</v>
      </c>
      <c r="B2727" s="35" t="e">
        <f>+B2726*(1+#REF!)^(1/#REF!)</f>
        <v>#REF!</v>
      </c>
      <c r="C2727" s="35">
        <f>+C2726*((1+INFLA!$B$7)^(1/-_xlfn.DAYS($A$2705,$A$2735)))</f>
        <v>792.62378364500012</v>
      </c>
      <c r="D2727" s="35">
        <f>+D2726*((1+INFLA!$C$7)^(1/-_xlfn.DAYS(CER!$A$2644,CER!$A$2674)))</f>
        <v>796.29513869757989</v>
      </c>
      <c r="E2727" s="35">
        <f>+E2726*((1+INFLA!$D$7)^(1/-_xlfn.DAYS(CER!$A$2644,CER!$A$2674)))</f>
        <v>804.75861830220367</v>
      </c>
    </row>
    <row r="2728" spans="1:5" x14ac:dyDescent="0.3">
      <c r="A2728" s="22">
        <v>46211</v>
      </c>
      <c r="B2728" s="35" t="e">
        <f>+B2727*(1+#REF!)^(1/#REF!)</f>
        <v>#REF!</v>
      </c>
      <c r="C2728" s="35">
        <f>+C2727*((1+INFLA!$B$7)^(1/-_xlfn.DAYS($A$2705,$A$2735)))</f>
        <v>793.12122534280672</v>
      </c>
      <c r="D2728" s="35">
        <f>+D2727*((1+INFLA!$C$7)^(1/-_xlfn.DAYS(CER!$A$2644,CER!$A$2674)))</f>
        <v>796.79488449618225</v>
      </c>
      <c r="E2728" s="35">
        <f>+E2727*((1+INFLA!$D$7)^(1/-_xlfn.DAYS(CER!$A$2644,CER!$A$2674)))</f>
        <v>805.39507248348139</v>
      </c>
    </row>
    <row r="2729" spans="1:5" x14ac:dyDescent="0.3">
      <c r="A2729" s="22">
        <v>46212</v>
      </c>
      <c r="B2729" s="35" t="e">
        <f>+B2728*(1+#REF!)^(1/#REF!)</f>
        <v>#REF!</v>
      </c>
      <c r="C2729" s="35">
        <f>+C2728*((1+INFLA!$B$7)^(1/-_xlfn.DAYS($A$2705,$A$2735)))</f>
        <v>793.61897922938158</v>
      </c>
      <c r="D2729" s="35">
        <f>+D2728*((1+INFLA!$C$7)^(1/-_xlfn.DAYS(CER!$A$2644,CER!$A$2674)))</f>
        <v>797.29494392958031</v>
      </c>
      <c r="E2729" s="35">
        <f>+E2728*((1+INFLA!$D$7)^(1/-_xlfn.DAYS(CER!$A$2644,CER!$A$2674)))</f>
        <v>806.03203001311181</v>
      </c>
    </row>
    <row r="2730" spans="1:5" x14ac:dyDescent="0.3">
      <c r="A2730" s="22">
        <v>46213</v>
      </c>
      <c r="B2730" s="35" t="e">
        <f>+B2729*(1+#REF!)^(1/#REF!)</f>
        <v>#REF!</v>
      </c>
      <c r="C2730" s="35">
        <f>+C2729*((1+INFLA!$B$7)^(1/-_xlfn.DAYS($A$2705,$A$2735)))</f>
        <v>794.11704550065087</v>
      </c>
      <c r="D2730" s="35">
        <f>+D2729*((1+INFLA!$C$7)^(1/-_xlfn.DAYS(CER!$A$2644,CER!$A$2674)))</f>
        <v>797.79531719460783</v>
      </c>
      <c r="E2730" s="35">
        <f>+E2729*((1+INFLA!$D$7)^(1/-_xlfn.DAYS(CER!$A$2644,CER!$A$2674)))</f>
        <v>806.66949128917486</v>
      </c>
    </row>
    <row r="2731" spans="1:5" x14ac:dyDescent="0.3">
      <c r="A2731" s="22">
        <v>46214</v>
      </c>
      <c r="B2731" s="35" t="e">
        <f>+B2730*(1+#REF!)^(1/#REF!)</f>
        <v>#REF!</v>
      </c>
      <c r="C2731" s="35">
        <f>+C2730*((1+INFLA!$B$7)^(1/-_xlfn.DAYS($A$2705,$A$2735)))</f>
        <v>794.61542435266358</v>
      </c>
      <c r="D2731" s="35">
        <f>+D2730*((1+INFLA!$C$7)^(1/-_xlfn.DAYS(CER!$A$2644,CER!$A$2674)))</f>
        <v>798.29600448822202</v>
      </c>
      <c r="E2731" s="35">
        <f>+E2730*((1+INFLA!$D$7)^(1/-_xlfn.DAYS(CER!$A$2644,CER!$A$2674)))</f>
        <v>807.30745671006503</v>
      </c>
    </row>
    <row r="2732" spans="1:5" x14ac:dyDescent="0.3">
      <c r="A2732" s="22">
        <v>46215</v>
      </c>
      <c r="B2732" s="35" t="e">
        <f>+B2731*(1+#REF!)^(1/#REF!)</f>
        <v>#REF!</v>
      </c>
      <c r="C2732" s="35">
        <f>+C2731*((1+INFLA!$B$7)^(1/-_xlfn.DAYS($A$2705,$A$2735)))</f>
        <v>795.11411598159191</v>
      </c>
      <c r="D2732" s="35">
        <f>+D2731*((1+INFLA!$C$7)^(1/-_xlfn.DAYS(CER!$A$2644,CER!$A$2674)))</f>
        <v>798.79700600750357</v>
      </c>
      <c r="E2732" s="35">
        <f>+E2731*((1+INFLA!$D$7)^(1/-_xlfn.DAYS(CER!$A$2644,CER!$A$2674)))</f>
        <v>807.94592667449217</v>
      </c>
    </row>
    <row r="2733" spans="1:5" x14ac:dyDescent="0.3">
      <c r="A2733" s="22">
        <v>46216</v>
      </c>
      <c r="B2733" s="35" t="e">
        <f>+B2732*(1+#REF!)^(1/#REF!)</f>
        <v>#REF!</v>
      </c>
      <c r="C2733" s="35">
        <f>+C2732*((1+INFLA!$B$7)^(1/-_xlfn.DAYS($A$2705,$A$2735)))</f>
        <v>795.61312058373119</v>
      </c>
      <c r="D2733" s="35">
        <f>+D2732*((1+INFLA!$C$7)^(1/-_xlfn.DAYS(CER!$A$2644,CER!$A$2674)))</f>
        <v>799.29832194965695</v>
      </c>
      <c r="E2733" s="35">
        <f>+E2732*((1+INFLA!$D$7)^(1/-_xlfn.DAYS(CER!$A$2644,CER!$A$2674)))</f>
        <v>808.58490158148129</v>
      </c>
    </row>
    <row r="2734" spans="1:5" x14ac:dyDescent="0.3">
      <c r="A2734" s="22">
        <v>46217</v>
      </c>
      <c r="B2734" s="35" t="e">
        <f>+B2733*(1+#REF!)^(1/#REF!)</f>
        <v>#REF!</v>
      </c>
      <c r="C2734" s="35">
        <f>+C2733*((1+INFLA!$B$7)^(1/-_xlfn.DAYS($A$2705,$A$2735)))</f>
        <v>796.11243835549976</v>
      </c>
      <c r="D2734" s="35">
        <f>+D2733*((1+INFLA!$C$7)^(1/-_xlfn.DAYS(CER!$A$2644,CER!$A$2674)))</f>
        <v>799.79995251201046</v>
      </c>
      <c r="E2734" s="35">
        <f>+E2733*((1+INFLA!$D$7)^(1/-_xlfn.DAYS(CER!$A$2644,CER!$A$2674)))</f>
        <v>809.22438183037298</v>
      </c>
    </row>
    <row r="2735" spans="1:5" x14ac:dyDescent="0.3">
      <c r="A2735" s="29">
        <v>46218</v>
      </c>
      <c r="B2735" s="35" t="e">
        <f>+B2734*(1+#REF!)^(1/#REF!)</f>
        <v>#REF!</v>
      </c>
      <c r="C2735" s="35">
        <f>+C2734*((1+INFLA!$B$7)^(1/-_xlfn.DAYS($A$2705,$A$2735)))</f>
        <v>796.61206949343932</v>
      </c>
      <c r="D2735" s="35">
        <f>+D2734*((1+INFLA!$C$7)^(1/-_xlfn.DAYS(CER!$A$2644,CER!$A$2674)))</f>
        <v>800.30189789201609</v>
      </c>
      <c r="E2735" s="35">
        <f>+E2734*((1+INFLA!$D$7)^(1/-_xlfn.DAYS(CER!$A$2644,CER!$A$2674)))</f>
        <v>809.86436782082365</v>
      </c>
    </row>
    <row r="2736" spans="1:5" x14ac:dyDescent="0.3">
      <c r="A2736" s="22">
        <v>46219</v>
      </c>
      <c r="C2736" s="35">
        <f>+C2735*((1+INFLA!$B$8)^(1/-_xlfn.DAYS($A$2735,$A$2766)))</f>
        <v>797.07063672274228</v>
      </c>
      <c r="D2736" s="35">
        <f>+D2735*((1+INFLA!$C$8)^(1/-_xlfn.DAYS(CER!$A$2644,CER!$A$2674)))</f>
        <v>800.77795010140619</v>
      </c>
      <c r="E2736" s="35">
        <f>+E2735*((1+INFLA!$D$8)^(1/-_xlfn.DAYS(CER!$A$2644,CER!$A$2674)))</f>
        <v>810.4520428326199</v>
      </c>
    </row>
    <row r="2737" spans="1:5" x14ac:dyDescent="0.3">
      <c r="A2737" s="22">
        <v>46220</v>
      </c>
      <c r="C2737" s="35">
        <f>+C2736*((1+INFLA!$B$8)^(1/-_xlfn.DAYS($A$2735,$A$2766)))</f>
        <v>797.5294679248268</v>
      </c>
      <c r="D2737" s="35">
        <f>+D2736*((1+INFLA!$C$8)^(1/-_xlfn.DAYS(CER!$A$2644,CER!$A$2674)))</f>
        <v>801.25428548606635</v>
      </c>
      <c r="E2737" s="35">
        <f>+E2736*((1+INFLA!$D$8)^(1/-_xlfn.DAYS(CER!$A$2644,CER!$A$2674)))</f>
        <v>811.04014428856306</v>
      </c>
    </row>
    <row r="2738" spans="1:5" x14ac:dyDescent="0.3">
      <c r="A2738" s="22">
        <v>46221</v>
      </c>
      <c r="C2738" s="35">
        <f>+C2737*((1+INFLA!$B$8)^(1/-_xlfn.DAYS($A$2735,$A$2766)))</f>
        <v>797.98856325164797</v>
      </c>
      <c r="D2738" s="35">
        <f>+D2737*((1+INFLA!$C$8)^(1/-_xlfn.DAYS(CER!$A$2644,CER!$A$2674)))</f>
        <v>801.73090421444067</v>
      </c>
      <c r="E2738" s="35">
        <f>+E2737*((1+INFLA!$D$8)^(1/-_xlfn.DAYS(CER!$A$2644,CER!$A$2674)))</f>
        <v>811.62867249810074</v>
      </c>
    </row>
    <row r="2739" spans="1:5" x14ac:dyDescent="0.3">
      <c r="A2739" s="22">
        <v>46222</v>
      </c>
      <c r="C2739" s="35">
        <f>+C2738*((1+INFLA!$B$8)^(1/-_xlfn.DAYS($A$2735,$A$2766)))</f>
        <v>798.44792285524829</v>
      </c>
      <c r="D2739" s="35">
        <f>+D2738*((1+INFLA!$C$8)^(1/-_xlfn.DAYS(CER!$A$2644,CER!$A$2674)))</f>
        <v>802.20780645507375</v>
      </c>
      <c r="E2739" s="35">
        <f>+E2738*((1+INFLA!$D$8)^(1/-_xlfn.DAYS(CER!$A$2644,CER!$A$2674)))</f>
        <v>812.2176277709051</v>
      </c>
    </row>
    <row r="2740" spans="1:5" x14ac:dyDescent="0.3">
      <c r="A2740" s="22">
        <v>46223</v>
      </c>
      <c r="C2740" s="35">
        <f>+C2739*((1+INFLA!$B$8)^(1/-_xlfn.DAYS($A$2735,$A$2766)))</f>
        <v>798.90754688775792</v>
      </c>
      <c r="D2740" s="35">
        <f>+D2739*((1+INFLA!$C$8)^(1/-_xlfn.DAYS(CER!$A$2644,CER!$A$2674)))</f>
        <v>802.68499237661013</v>
      </c>
      <c r="E2740" s="35">
        <f>+E2739*((1+INFLA!$D$8)^(1/-_xlfn.DAYS(CER!$A$2644,CER!$A$2674)))</f>
        <v>812.80701041687303</v>
      </c>
    </row>
    <row r="2741" spans="1:5" x14ac:dyDescent="0.3">
      <c r="A2741" s="22">
        <v>46224</v>
      </c>
      <c r="C2741" s="35">
        <f>+C2740*((1+INFLA!$B$8)^(1/-_xlfn.DAYS($A$2735,$A$2766)))</f>
        <v>799.36743550139454</v>
      </c>
      <c r="D2741" s="35">
        <f>+D2740*((1+INFLA!$C$8)^(1/-_xlfn.DAYS(CER!$A$2644,CER!$A$2674)))</f>
        <v>803.16246214779471</v>
      </c>
      <c r="E2741" s="35">
        <f>+E2740*((1+INFLA!$D$8)^(1/-_xlfn.DAYS(CER!$A$2644,CER!$A$2674)))</f>
        <v>813.3968207461262</v>
      </c>
    </row>
    <row r="2742" spans="1:5" x14ac:dyDescent="0.3">
      <c r="A2742" s="22">
        <v>46225</v>
      </c>
      <c r="C2742" s="35">
        <f>+C2741*((1+INFLA!$B$8)^(1/-_xlfn.DAYS($A$2735,$A$2766)))</f>
        <v>799.82758884846351</v>
      </c>
      <c r="D2742" s="35">
        <f>+D2741*((1+INFLA!$C$8)^(1/-_xlfn.DAYS(CER!$A$2644,CER!$A$2674)))</f>
        <v>803.64021593747293</v>
      </c>
      <c r="E2742" s="35">
        <f>+E2741*((1+INFLA!$D$8)^(1/-_xlfn.DAYS(CER!$A$2644,CER!$A$2674)))</f>
        <v>813.98705906901125</v>
      </c>
    </row>
    <row r="2743" spans="1:5" x14ac:dyDescent="0.3">
      <c r="A2743" s="22">
        <v>46226</v>
      </c>
      <c r="C2743" s="35">
        <f>+C2742*((1+INFLA!$B$8)^(1/-_xlfn.DAYS($A$2735,$A$2766)))</f>
        <v>800.2880070813577</v>
      </c>
      <c r="D2743" s="35">
        <f>+D2742*((1+INFLA!$C$8)^(1/-_xlfn.DAYS(CER!$A$2644,CER!$A$2674)))</f>
        <v>804.11825391459058</v>
      </c>
      <c r="E2743" s="35">
        <f>+E2742*((1+INFLA!$D$8)^(1/-_xlfn.DAYS(CER!$A$2644,CER!$A$2674)))</f>
        <v>814.57772569610029</v>
      </c>
    </row>
    <row r="2744" spans="1:5" x14ac:dyDescent="0.3">
      <c r="A2744" s="22">
        <v>46227</v>
      </c>
      <c r="C2744" s="35">
        <f>+C2743*((1+INFLA!$B$8)^(1/-_xlfn.DAYS($A$2735,$A$2766)))</f>
        <v>800.74869035255779</v>
      </c>
      <c r="D2744" s="35">
        <f>+D2743*((1+INFLA!$C$8)^(1/-_xlfn.DAYS(CER!$A$2644,CER!$A$2674)))</f>
        <v>804.59657624819397</v>
      </c>
      <c r="E2744" s="35">
        <f>+E2743*((1+INFLA!$D$8)^(1/-_xlfn.DAYS(CER!$A$2644,CER!$A$2674)))</f>
        <v>815.16882093819061</v>
      </c>
    </row>
    <row r="2745" spans="1:5" x14ac:dyDescent="0.3">
      <c r="A2745" s="22">
        <v>46228</v>
      </c>
      <c r="C2745" s="35">
        <f>+C2744*((1+INFLA!$B$8)^(1/-_xlfn.DAYS($A$2735,$A$2766)))</f>
        <v>801.20963881463229</v>
      </c>
      <c r="D2745" s="35">
        <f>+D2744*((1+INFLA!$C$8)^(1/-_xlfn.DAYS(CER!$A$2644,CER!$A$2674)))</f>
        <v>805.07518310742989</v>
      </c>
      <c r="E2745" s="35">
        <f>+E2744*((1+INFLA!$D$8)^(1/-_xlfn.DAYS(CER!$A$2644,CER!$A$2674)))</f>
        <v>815.76034510630507</v>
      </c>
    </row>
    <row r="2746" spans="1:5" x14ac:dyDescent="0.3">
      <c r="A2746" s="22">
        <v>46229</v>
      </c>
      <c r="C2746" s="35">
        <f>+C2745*((1+INFLA!$B$8)^(1/-_xlfn.DAYS($A$2735,$A$2766)))</f>
        <v>801.6708526202375</v>
      </c>
      <c r="D2746" s="35">
        <f>+D2745*((1+INFLA!$C$8)^(1/-_xlfn.DAYS(CER!$A$2644,CER!$A$2674)))</f>
        <v>805.55407466154577</v>
      </c>
      <c r="E2746" s="35">
        <f>+E2745*((1+INFLA!$D$8)^(1/-_xlfn.DAYS(CER!$A$2644,CER!$A$2674)))</f>
        <v>816.3522985116922</v>
      </c>
    </row>
    <row r="2747" spans="1:5" x14ac:dyDescent="0.3">
      <c r="A2747" s="22">
        <v>46230</v>
      </c>
      <c r="C2747" s="35">
        <f>+C2746*((1+INFLA!$B$8)^(1/-_xlfn.DAYS($A$2735,$A$2766)))</f>
        <v>802.13233192211749</v>
      </c>
      <c r="D2747" s="35">
        <f>+D2746*((1+INFLA!$C$8)^(1/-_xlfn.DAYS(CER!$A$2644,CER!$A$2674)))</f>
        <v>806.03325107988974</v>
      </c>
      <c r="E2747" s="35">
        <f>+E2746*((1+INFLA!$D$8)^(1/-_xlfn.DAYS(CER!$A$2644,CER!$A$2674)))</f>
        <v>816.94468146582642</v>
      </c>
    </row>
    <row r="2748" spans="1:5" x14ac:dyDescent="0.3">
      <c r="A2748" s="22">
        <v>46231</v>
      </c>
      <c r="C2748" s="35">
        <f>+C2747*((1+INFLA!$B$8)^(1/-_xlfn.DAYS($A$2735,$A$2766)))</f>
        <v>802.59407687310443</v>
      </c>
      <c r="D2748" s="35">
        <f>+D2747*((1+INFLA!$C$8)^(1/-_xlfn.DAYS(CER!$A$2644,CER!$A$2674)))</f>
        <v>806.51271253191067</v>
      </c>
      <c r="E2748" s="35">
        <f>+E2747*((1+INFLA!$D$8)^(1/-_xlfn.DAYS(CER!$A$2644,CER!$A$2674)))</f>
        <v>817.53749428040805</v>
      </c>
    </row>
    <row r="2749" spans="1:5" x14ac:dyDescent="0.3">
      <c r="A2749" s="22">
        <v>46232</v>
      </c>
      <c r="C2749" s="35">
        <f>+C2748*((1+INFLA!$B$8)^(1/-_xlfn.DAYS($A$2735,$A$2766)))</f>
        <v>803.05608762611837</v>
      </c>
      <c r="D2749" s="35">
        <f>+D2748*((1+INFLA!$C$8)^(1/-_xlfn.DAYS(CER!$A$2644,CER!$A$2674)))</f>
        <v>806.99245918715826</v>
      </c>
      <c r="E2749" s="35">
        <f>+E2748*((1+INFLA!$D$8)^(1/-_xlfn.DAYS(CER!$A$2644,CER!$A$2674)))</f>
        <v>818.13073726736377</v>
      </c>
    </row>
    <row r="2750" spans="1:5" x14ac:dyDescent="0.3">
      <c r="A2750" s="22">
        <v>46233</v>
      </c>
      <c r="C2750" s="35">
        <f>+C2749*((1+INFLA!$B$8)^(1/-_xlfn.DAYS($A$2735,$A$2766)))</f>
        <v>803.51836433416747</v>
      </c>
      <c r="D2750" s="35">
        <f>+D2749*((1+INFLA!$C$8)^(1/-_xlfn.DAYS(CER!$A$2644,CER!$A$2674)))</f>
        <v>807.47249121528296</v>
      </c>
      <c r="E2750" s="35">
        <f>+E2749*((1+INFLA!$D$8)^(1/-_xlfn.DAYS(CER!$A$2644,CER!$A$2674)))</f>
        <v>818.72441073884659</v>
      </c>
    </row>
    <row r="2751" spans="1:5" x14ac:dyDescent="0.3">
      <c r="A2751" s="22">
        <v>46234</v>
      </c>
      <c r="C2751" s="35">
        <f>+C2750*((1+INFLA!$B$8)^(1/-_xlfn.DAYS($A$2735,$A$2766)))</f>
        <v>803.98090715034789</v>
      </c>
      <c r="D2751" s="35">
        <f>+D2750*((1+INFLA!$C$8)^(1/-_xlfn.DAYS(CER!$A$2644,CER!$A$2674)))</f>
        <v>807.95280878603626</v>
      </c>
      <c r="E2751" s="35">
        <f>+E2750*((1+INFLA!$D$8)^(1/-_xlfn.DAYS(CER!$A$2644,CER!$A$2674)))</f>
        <v>819.31851500723587</v>
      </c>
    </row>
    <row r="2752" spans="1:5" x14ac:dyDescent="0.3">
      <c r="A2752" s="22">
        <v>46235</v>
      </c>
      <c r="C2752" s="35">
        <f>+C2751*((1+INFLA!$B$8)^(1/-_xlfn.DAYS($A$2735,$A$2766)))</f>
        <v>804.44371622784388</v>
      </c>
      <c r="D2752" s="35">
        <f>+D2751*((1+INFLA!$C$8)^(1/-_xlfn.DAYS(CER!$A$2644,CER!$A$2674)))</f>
        <v>808.4334120692705</v>
      </c>
      <c r="E2752" s="35">
        <f>+E2751*((1+INFLA!$D$8)^(1/-_xlfn.DAYS(CER!$A$2644,CER!$A$2674)))</f>
        <v>819.91305038513792</v>
      </c>
    </row>
    <row r="2753" spans="1:5" x14ac:dyDescent="0.3">
      <c r="A2753" s="22">
        <v>46236</v>
      </c>
      <c r="C2753" s="35">
        <f>+C2752*((1+INFLA!$B$8)^(1/-_xlfn.DAYS($A$2735,$A$2766)))</f>
        <v>804.90679171992792</v>
      </c>
      <c r="D2753" s="35">
        <f>+D2752*((1+INFLA!$C$8)^(1/-_xlfn.DAYS(CER!$A$2644,CER!$A$2674)))</f>
        <v>808.9143012349391</v>
      </c>
      <c r="E2753" s="35">
        <f>+E2752*((1+INFLA!$D$8)^(1/-_xlfn.DAYS(CER!$A$2644,CER!$A$2674)))</f>
        <v>820.5080171853856</v>
      </c>
    </row>
    <row r="2754" spans="1:5" x14ac:dyDescent="0.3">
      <c r="A2754" s="22">
        <v>46237</v>
      </c>
      <c r="C2754" s="35">
        <f>+C2753*((1+INFLA!$B$8)^(1/-_xlfn.DAYS($A$2735,$A$2766)))</f>
        <v>805.37013377996084</v>
      </c>
      <c r="D2754" s="35">
        <f>+D2753*((1+INFLA!$C$8)^(1/-_xlfn.DAYS(CER!$A$2644,CER!$A$2674)))</f>
        <v>809.39547645309665</v>
      </c>
      <c r="E2754" s="35">
        <f>+E2753*((1+INFLA!$D$8)^(1/-_xlfn.DAYS(CER!$A$2644,CER!$A$2674)))</f>
        <v>821.10341572103891</v>
      </c>
    </row>
    <row r="2755" spans="1:5" x14ac:dyDescent="0.3">
      <c r="A2755" s="22">
        <v>46238</v>
      </c>
      <c r="C2755" s="35">
        <f>+C2754*((1+INFLA!$B$8)^(1/-_xlfn.DAYS($A$2735,$A$2766)))</f>
        <v>805.83374256139155</v>
      </c>
      <c r="D2755" s="35">
        <f>+D2754*((1+INFLA!$C$8)^(1/-_xlfn.DAYS(CER!$A$2644,CER!$A$2674)))</f>
        <v>809.8769378938988</v>
      </c>
      <c r="E2755" s="35">
        <f>+E2754*((1+INFLA!$D$8)^(1/-_xlfn.DAYS(CER!$A$2644,CER!$A$2674)))</f>
        <v>821.69924630538503</v>
      </c>
    </row>
    <row r="2756" spans="1:5" x14ac:dyDescent="0.3">
      <c r="A2756" s="22">
        <v>46239</v>
      </c>
      <c r="C2756" s="35">
        <f>+C2755*((1+INFLA!$B$8)^(1/-_xlfn.DAYS($A$2735,$A$2766)))</f>
        <v>806.29761821775742</v>
      </c>
      <c r="D2756" s="35">
        <f>+D2755*((1+INFLA!$C$8)^(1/-_xlfn.DAYS(CER!$A$2644,CER!$A$2674)))</f>
        <v>810.35868572760251</v>
      </c>
      <c r="E2756" s="35">
        <f>+E2755*((1+INFLA!$D$8)^(1/-_xlfn.DAYS(CER!$A$2644,CER!$A$2674)))</f>
        <v>822.29550925193837</v>
      </c>
    </row>
    <row r="2757" spans="1:5" x14ac:dyDescent="0.3">
      <c r="A2757" s="22">
        <v>46240</v>
      </c>
      <c r="C2757" s="35">
        <f>+C2756*((1+INFLA!$B$8)^(1/-_xlfn.DAYS($A$2735,$A$2766)))</f>
        <v>806.76176090268416</v>
      </c>
      <c r="D2757" s="35">
        <f>+D2756*((1+INFLA!$C$8)^(1/-_xlfn.DAYS(CER!$A$2644,CER!$A$2674)))</f>
        <v>810.84072012456591</v>
      </c>
      <c r="E2757" s="35">
        <f>+E2756*((1+INFLA!$D$8)^(1/-_xlfn.DAYS(CER!$A$2644,CER!$A$2674)))</f>
        <v>822.89220487444106</v>
      </c>
    </row>
    <row r="2758" spans="1:5" x14ac:dyDescent="0.3">
      <c r="A2758" s="22">
        <v>46241</v>
      </c>
      <c r="C2758" s="35">
        <f>+C2757*((1+INFLA!$B$8)^(1/-_xlfn.DAYS($A$2735,$A$2766)))</f>
        <v>807.22617076988593</v>
      </c>
      <c r="D2758" s="35">
        <f>+D2757*((1+INFLA!$C$8)^(1/-_xlfn.DAYS(CER!$A$2644,CER!$A$2674)))</f>
        <v>811.32304125524854</v>
      </c>
      <c r="E2758" s="35">
        <f>+E2757*((1+INFLA!$D$8)^(1/-_xlfn.DAYS(CER!$A$2644,CER!$A$2674)))</f>
        <v>823.48933348686273</v>
      </c>
    </row>
    <row r="2759" spans="1:5" x14ac:dyDescent="0.3">
      <c r="A2759" s="22">
        <v>46242</v>
      </c>
      <c r="C2759" s="35">
        <f>+C2758*((1+INFLA!$B$8)^(1/-_xlfn.DAYS($A$2735,$A$2766)))</f>
        <v>807.69084797316532</v>
      </c>
      <c r="D2759" s="35">
        <f>+D2758*((1+INFLA!$C$8)^(1/-_xlfn.DAYS(CER!$A$2644,CER!$A$2674)))</f>
        <v>811.80564929021125</v>
      </c>
      <c r="E2759" s="35">
        <f>+E2758*((1+INFLA!$D$8)^(1/-_xlfn.DAYS(CER!$A$2644,CER!$A$2674)))</f>
        <v>824.08689540340083</v>
      </c>
    </row>
    <row r="2760" spans="1:5" x14ac:dyDescent="0.3">
      <c r="A2760" s="22">
        <v>46243</v>
      </c>
      <c r="C2760" s="35">
        <f>+C2759*((1+INFLA!$B$8)^(1/-_xlfn.DAYS($A$2735,$A$2766)))</f>
        <v>808.1557926664135</v>
      </c>
      <c r="D2760" s="35">
        <f>+D2759*((1+INFLA!$C$8)^(1/-_xlfn.DAYS(CER!$A$2644,CER!$A$2674)))</f>
        <v>812.28854440011651</v>
      </c>
      <c r="E2760" s="35">
        <f>+E2759*((1+INFLA!$D$8)^(1/-_xlfn.DAYS(CER!$A$2644,CER!$A$2674)))</f>
        <v>824.68489093848086</v>
      </c>
    </row>
    <row r="2761" spans="1:5" x14ac:dyDescent="0.3">
      <c r="A2761" s="22">
        <v>46244</v>
      </c>
      <c r="C2761" s="35">
        <f>+C2760*((1+INFLA!$B$8)^(1/-_xlfn.DAYS($A$2735,$A$2766)))</f>
        <v>808.62100500361032</v>
      </c>
      <c r="D2761" s="35">
        <f>+D2760*((1+INFLA!$C$8)^(1/-_xlfn.DAYS(CER!$A$2644,CER!$A$2674)))</f>
        <v>812.77172675572808</v>
      </c>
      <c r="E2761" s="35">
        <f>+E2760*((1+INFLA!$D$8)^(1/-_xlfn.DAYS(CER!$A$2644,CER!$A$2674)))</f>
        <v>825.2833204067565</v>
      </c>
    </row>
    <row r="2762" spans="1:5" x14ac:dyDescent="0.3">
      <c r="A2762" s="22">
        <v>46245</v>
      </c>
      <c r="C2762" s="35">
        <f>+C2761*((1+INFLA!$B$8)^(1/-_xlfn.DAYS($A$2735,$A$2766)))</f>
        <v>809.08648513882406</v>
      </c>
      <c r="D2762" s="35">
        <f>+D2761*((1+INFLA!$C$8)^(1/-_xlfn.DAYS(CER!$A$2644,CER!$A$2674)))</f>
        <v>813.25519652791149</v>
      </c>
      <c r="E2762" s="35">
        <f>+E2761*((1+INFLA!$D$8)^(1/-_xlfn.DAYS(CER!$A$2644,CER!$A$2674)))</f>
        <v>825.88218412310971</v>
      </c>
    </row>
    <row r="2763" spans="1:5" x14ac:dyDescent="0.3">
      <c r="A2763" s="22">
        <v>46246</v>
      </c>
      <c r="C2763" s="35">
        <f>+C2762*((1+INFLA!$B$8)^(1/-_xlfn.DAYS($A$2735,$A$2766)))</f>
        <v>809.55223322621191</v>
      </c>
      <c r="D2763" s="35">
        <f>+D2762*((1+INFLA!$C$8)^(1/-_xlfn.DAYS(CER!$A$2644,CER!$A$2674)))</f>
        <v>813.7389538876339</v>
      </c>
      <c r="E2763" s="35">
        <f>+E2762*((1+INFLA!$D$8)^(1/-_xlfn.DAYS(CER!$A$2644,CER!$A$2674)))</f>
        <v>826.48148240265095</v>
      </c>
    </row>
    <row r="2764" spans="1:5" x14ac:dyDescent="0.3">
      <c r="A2764" s="22">
        <v>46247</v>
      </c>
      <c r="C2764" s="35">
        <f>+C2763*((1+INFLA!$B$8)^(1/-_xlfn.DAYS($A$2735,$A$2766)))</f>
        <v>810.01824942001963</v>
      </c>
      <c r="D2764" s="35">
        <f>+D2763*((1+INFLA!$C$8)^(1/-_xlfn.DAYS(CER!$A$2644,CER!$A$2674)))</f>
        <v>814.22299900596397</v>
      </c>
      <c r="E2764" s="35">
        <f>+E2763*((1+INFLA!$D$8)^(1/-_xlfn.DAYS(CER!$A$2644,CER!$A$2674)))</f>
        <v>827.08121556071944</v>
      </c>
    </row>
    <row r="2765" spans="1:5" x14ac:dyDescent="0.3">
      <c r="A2765" s="22">
        <v>46248</v>
      </c>
      <c r="C2765" s="35">
        <f>+C2764*((1+INFLA!$B$8)^(1/-_xlfn.DAYS($A$2735,$A$2766)))</f>
        <v>810.48453387458176</v>
      </c>
      <c r="D2765" s="35">
        <f>+D2764*((1+INFLA!$C$8)^(1/-_xlfn.DAYS(CER!$A$2644,CER!$A$2674)))</f>
        <v>814.70733205407237</v>
      </c>
      <c r="E2765" s="35">
        <f>+E2764*((1+INFLA!$D$8)^(1/-_xlfn.DAYS(CER!$A$2644,CER!$A$2674)))</f>
        <v>827.68138391288312</v>
      </c>
    </row>
    <row r="2766" spans="1:5" x14ac:dyDescent="0.3">
      <c r="A2766" s="29">
        <v>46249</v>
      </c>
      <c r="C2766" s="35">
        <f>+C2765*((1+INFLA!$B$8)^(1/-_xlfn.DAYS($A$2735,$A$2766)))</f>
        <v>810.95108674432186</v>
      </c>
      <c r="D2766" s="35">
        <f>+D2765*((1+INFLA!$C$8)^(1/-_xlfn.DAYS(CER!$A$2644,CER!$A$2674)))</f>
        <v>815.19195320323149</v>
      </c>
      <c r="E2766" s="35">
        <f>+E2765*((1+INFLA!$D$8)^(1/-_xlfn.DAYS(CER!$A$2644,CER!$A$2674)))</f>
        <v>828.28198777493878</v>
      </c>
    </row>
    <row r="2767" spans="1:5" x14ac:dyDescent="0.3">
      <c r="A2767" s="22">
        <v>46250</v>
      </c>
      <c r="C2767" s="35">
        <f>+C2766*((1+INFLA!$B$9)^(1/-_xlfn.DAYS($A$2766,$A$2797)))</f>
        <v>811.39218399856304</v>
      </c>
      <c r="D2767" s="35">
        <f>+D2766*((1+INFLA!$C$9)^(1/-_xlfn.DAYS($A$2766,$A$2797)))</f>
        <v>815.63535717434024</v>
      </c>
      <c r="E2767" s="35">
        <f>+E2766*((1+INFLA!$D$9)^(1/-_xlfn.DAYS($A$2766,$A$2797)))</f>
        <v>828.86363227995025</v>
      </c>
    </row>
    <row r="2768" spans="1:5" x14ac:dyDescent="0.3">
      <c r="A2768" s="22">
        <v>46251</v>
      </c>
      <c r="C2768" s="35">
        <f>+C2767*((1+INFLA!$B$9)^(1/-_xlfn.DAYS($A$2766,$A$2797)))</f>
        <v>811.83352117700042</v>
      </c>
      <c r="D2768" s="35">
        <f>+D2767*((1+INFLA!$C$9)^(1/-_xlfn.DAYS($A$2766,$A$2797)))</f>
        <v>816.07900232432826</v>
      </c>
      <c r="E2768" s="35">
        <f>+E2767*((1+INFLA!$D$9)^(1/-_xlfn.DAYS($A$2766,$A$2797)))</f>
        <v>829.44568523321391</v>
      </c>
    </row>
    <row r="2769" spans="1:5" x14ac:dyDescent="0.3">
      <c r="A2769" s="22">
        <v>46252</v>
      </c>
      <c r="C2769" s="35">
        <f>+C2768*((1+INFLA!$B$9)^(1/-_xlfn.DAYS($A$2766,$A$2797)))</f>
        <v>812.27509841013512</v>
      </c>
      <c r="D2769" s="35">
        <f>+D2768*((1+INFLA!$C$9)^(1/-_xlfn.DAYS($A$2766,$A$2797)))</f>
        <v>816.52288878437889</v>
      </c>
      <c r="E2769" s="35">
        <f>+E2768*((1+INFLA!$D$9)^(1/-_xlfn.DAYS($A$2766,$A$2797)))</f>
        <v>830.02814692155437</v>
      </c>
    </row>
    <row r="2770" spans="1:5" x14ac:dyDescent="0.3">
      <c r="A2770" s="22">
        <v>46253</v>
      </c>
      <c r="C2770" s="35">
        <f>+C2769*((1+INFLA!$B$9)^(1/-_xlfn.DAYS($A$2766,$A$2797)))</f>
        <v>812.71691582853896</v>
      </c>
      <c r="D2770" s="35">
        <f>+D2769*((1+INFLA!$C$9)^(1/-_xlfn.DAYS($A$2766,$A$2797)))</f>
        <v>816.9670166857469</v>
      </c>
      <c r="E2770" s="35">
        <f>+E2769*((1+INFLA!$D$9)^(1/-_xlfn.DAYS($A$2766,$A$2797)))</f>
        <v>830.6110176319977</v>
      </c>
    </row>
    <row r="2771" spans="1:5" x14ac:dyDescent="0.3">
      <c r="A2771" s="22">
        <v>46254</v>
      </c>
      <c r="C2771" s="35">
        <f>+C2770*((1+INFLA!$B$9)^(1/-_xlfn.DAYS($A$2766,$A$2797)))</f>
        <v>813.15897356285495</v>
      </c>
      <c r="D2771" s="35">
        <f>+D2770*((1+INFLA!$C$9)^(1/-_xlfn.DAYS($A$2766,$A$2797)))</f>
        <v>817.41138615975842</v>
      </c>
      <c r="E2771" s="35">
        <f>+E2770*((1+INFLA!$D$9)^(1/-_xlfn.DAYS($A$2766,$A$2797)))</f>
        <v>831.19429765177154</v>
      </c>
    </row>
    <row r="2772" spans="1:5" x14ac:dyDescent="0.3">
      <c r="A2772" s="22">
        <v>46255</v>
      </c>
      <c r="C2772" s="35">
        <f>+C2771*((1+INFLA!$B$9)^(1/-_xlfn.DAYS($A$2766,$A$2797)))</f>
        <v>813.60127174379716</v>
      </c>
      <c r="D2772" s="35">
        <f>+D2771*((1+INFLA!$C$9)^(1/-_xlfn.DAYS($A$2766,$A$2797)))</f>
        <v>817.85599733781112</v>
      </c>
      <c r="E2772" s="35">
        <f>+E2771*((1+INFLA!$D$9)^(1/-_xlfn.DAYS($A$2766,$A$2797)))</f>
        <v>831.77798726830508</v>
      </c>
    </row>
    <row r="2773" spans="1:5" x14ac:dyDescent="0.3">
      <c r="A2773" s="22">
        <v>46256</v>
      </c>
      <c r="C2773" s="35">
        <f>+C2772*((1+INFLA!$B$9)^(1/-_xlfn.DAYS($A$2766,$A$2797)))</f>
        <v>814.04381050215068</v>
      </c>
      <c r="D2773" s="35">
        <f>+D2772*((1+INFLA!$C$9)^(1/-_xlfn.DAYS($A$2766,$A$2797)))</f>
        <v>818.30085035137404</v>
      </c>
      <c r="E2773" s="35">
        <f>+E2772*((1+INFLA!$D$9)^(1/-_xlfn.DAYS($A$2766,$A$2797)))</f>
        <v>832.36208676922956</v>
      </c>
    </row>
    <row r="2774" spans="1:5" x14ac:dyDescent="0.3">
      <c r="A2774" s="22">
        <v>46257</v>
      </c>
      <c r="C2774" s="35">
        <f>+C2773*((1+INFLA!$B$9)^(1/-_xlfn.DAYS($A$2766,$A$2797)))</f>
        <v>814.4865899687718</v>
      </c>
      <c r="D2774" s="35">
        <f>+D2773*((1+INFLA!$C$9)^(1/-_xlfn.DAYS($A$2766,$A$2797)))</f>
        <v>818.74594533198785</v>
      </c>
      <c r="E2774" s="35">
        <f>+E2773*((1+INFLA!$D$9)^(1/-_xlfn.DAYS($A$2766,$A$2797)))</f>
        <v>832.94659644237822</v>
      </c>
    </row>
    <row r="2775" spans="1:5" x14ac:dyDescent="0.3">
      <c r="A2775" s="22">
        <v>46258</v>
      </c>
      <c r="C2775" s="35">
        <f>+C2774*((1+INFLA!$B$9)^(1/-_xlfn.DAYS($A$2766,$A$2797)))</f>
        <v>814.92961027458796</v>
      </c>
      <c r="D2775" s="35">
        <f>+D2774*((1+INFLA!$C$9)^(1/-_xlfn.DAYS($A$2766,$A$2797)))</f>
        <v>819.19128241126452</v>
      </c>
      <c r="E2775" s="35">
        <f>+E2774*((1+INFLA!$D$9)^(1/-_xlfn.DAYS($A$2766,$A$2797)))</f>
        <v>833.53151657578621</v>
      </c>
    </row>
    <row r="2776" spans="1:5" x14ac:dyDescent="0.3">
      <c r="A2776" s="22">
        <v>46259</v>
      </c>
      <c r="C2776" s="35">
        <f>+C2775*((1+INFLA!$B$9)^(1/-_xlfn.DAYS($A$2766,$A$2797)))</f>
        <v>815.37287155059789</v>
      </c>
      <c r="D2776" s="35">
        <f>+D2775*((1+INFLA!$C$9)^(1/-_xlfn.DAYS($A$2766,$A$2797)))</f>
        <v>819.63686172088796</v>
      </c>
      <c r="E2776" s="35">
        <f>+E2775*((1+INFLA!$D$9)^(1/-_xlfn.DAYS($A$2766,$A$2797)))</f>
        <v>834.11684745769105</v>
      </c>
    </row>
    <row r="2777" spans="1:5" x14ac:dyDescent="0.3">
      <c r="A2777" s="22">
        <v>46260</v>
      </c>
      <c r="C2777" s="35">
        <f>+C2776*((1+INFLA!$B$9)^(1/-_xlfn.DAYS($A$2766,$A$2797)))</f>
        <v>815.8163739278715</v>
      </c>
      <c r="D2777" s="35">
        <f>+D2776*((1+INFLA!$C$9)^(1/-_xlfn.DAYS($A$2766,$A$2797)))</f>
        <v>820.08268339261338</v>
      </c>
      <c r="E2777" s="35">
        <f>+E2776*((1+INFLA!$D$9)^(1/-_xlfn.DAYS($A$2766,$A$2797)))</f>
        <v>834.70258937653273</v>
      </c>
    </row>
    <row r="2778" spans="1:5" x14ac:dyDescent="0.3">
      <c r="A2778" s="22">
        <v>46261</v>
      </c>
      <c r="C2778" s="35">
        <f>+C2777*((1+INFLA!$B$9)^(1/-_xlfn.DAYS($A$2766,$A$2797)))</f>
        <v>816.26011753754995</v>
      </c>
      <c r="D2778" s="35">
        <f>+D2777*((1+INFLA!$C$9)^(1/-_xlfn.DAYS($A$2766,$A$2797)))</f>
        <v>820.52874755826781</v>
      </c>
      <c r="E2778" s="35">
        <f>+E2777*((1+INFLA!$D$9)^(1/-_xlfn.DAYS($A$2766,$A$2797)))</f>
        <v>835.28874262095371</v>
      </c>
    </row>
    <row r="2779" spans="1:5" x14ac:dyDescent="0.3">
      <c r="A2779" s="22">
        <v>46262</v>
      </c>
      <c r="C2779" s="35">
        <f>+C2778*((1+INFLA!$B$9)^(1/-_xlfn.DAYS($A$2766,$A$2797)))</f>
        <v>816.7041025108457</v>
      </c>
      <c r="D2779" s="35">
        <f>+D2778*((1+INFLA!$C$9)^(1/-_xlfn.DAYS($A$2766,$A$2797)))</f>
        <v>820.97505434975005</v>
      </c>
      <c r="E2779" s="35">
        <f>+E2778*((1+INFLA!$D$9)^(1/-_xlfn.DAYS($A$2766,$A$2797)))</f>
        <v>835.87530747979918</v>
      </c>
    </row>
    <row r="2780" spans="1:5" x14ac:dyDescent="0.3">
      <c r="A2780" s="22">
        <v>46263</v>
      </c>
      <c r="C2780" s="35">
        <f>+C2779*((1+INFLA!$B$9)^(1/-_xlfn.DAYS($A$2766,$A$2797)))</f>
        <v>817.14832897904273</v>
      </c>
      <c r="D2780" s="35">
        <f>+D2779*((1+INFLA!$C$9)^(1/-_xlfn.DAYS($A$2766,$A$2797)))</f>
        <v>821.42160389903052</v>
      </c>
      <c r="E2780" s="35">
        <f>+E2779*((1+INFLA!$D$9)^(1/-_xlfn.DAYS($A$2766,$A$2797)))</f>
        <v>836.46228424211711</v>
      </c>
    </row>
    <row r="2781" spans="1:5" x14ac:dyDescent="0.3">
      <c r="A2781" s="22">
        <v>46264</v>
      </c>
      <c r="C2781" s="35">
        <f>+C2780*((1+INFLA!$B$9)^(1/-_xlfn.DAYS($A$2766,$A$2797)))</f>
        <v>817.5927970734964</v>
      </c>
      <c r="D2781" s="35">
        <f>+D2780*((1+INFLA!$C$9)^(1/-_xlfn.DAYS($A$2766,$A$2797)))</f>
        <v>821.86839633815134</v>
      </c>
      <c r="E2781" s="35">
        <f>+E2780*((1+INFLA!$D$9)^(1/-_xlfn.DAYS($A$2766,$A$2797)))</f>
        <v>837.04967319715854</v>
      </c>
    </row>
    <row r="2782" spans="1:5" x14ac:dyDescent="0.3">
      <c r="A2782" s="22">
        <v>46265</v>
      </c>
      <c r="C2782" s="35">
        <f>+C2781*((1+INFLA!$B$9)^(1/-_xlfn.DAYS($A$2766,$A$2797)))</f>
        <v>818.03750692563347</v>
      </c>
      <c r="D2782" s="35">
        <f>+D2781*((1+INFLA!$C$9)^(1/-_xlfn.DAYS($A$2766,$A$2797)))</f>
        <v>822.31543179922676</v>
      </c>
      <c r="E2782" s="35">
        <f>+E2781*((1+INFLA!$D$9)^(1/-_xlfn.DAYS($A$2766,$A$2797)))</f>
        <v>837.63747463437767</v>
      </c>
    </row>
    <row r="2783" spans="1:5" x14ac:dyDescent="0.3">
      <c r="A2783" s="22">
        <v>46266</v>
      </c>
      <c r="C2783" s="35">
        <f>+C2782*((1+INFLA!$B$9)^(1/-_xlfn.DAYS($A$2766,$A$2797)))</f>
        <v>818.4824586669522</v>
      </c>
      <c r="D2783" s="35">
        <f>+D2782*((1+INFLA!$C$9)^(1/-_xlfn.DAYS($A$2766,$A$2797)))</f>
        <v>822.76271041444261</v>
      </c>
      <c r="E2783" s="35">
        <f>+E2782*((1+INFLA!$D$9)^(1/-_xlfn.DAYS($A$2766,$A$2797)))</f>
        <v>838.22568884343173</v>
      </c>
    </row>
    <row r="2784" spans="1:5" x14ac:dyDescent="0.3">
      <c r="A2784" s="22">
        <v>46267</v>
      </c>
      <c r="C2784" s="35">
        <f>+C2783*((1+INFLA!$B$9)^(1/-_xlfn.DAYS($A$2766,$A$2797)))</f>
        <v>818.92765242902226</v>
      </c>
      <c r="D2784" s="35">
        <f>+D2783*((1+INFLA!$C$9)^(1/-_xlfn.DAYS($A$2766,$A$2797)))</f>
        <v>823.2102323160567</v>
      </c>
      <c r="E2784" s="35">
        <f>+E2783*((1+INFLA!$D$9)^(1/-_xlfn.DAYS($A$2766,$A$2797)))</f>
        <v>838.81431611418157</v>
      </c>
    </row>
    <row r="2785" spans="1:5" x14ac:dyDescent="0.3">
      <c r="A2785" s="22">
        <v>46268</v>
      </c>
      <c r="C2785" s="35">
        <f>+C2784*((1+INFLA!$B$9)^(1/-_xlfn.DAYS($A$2766,$A$2797)))</f>
        <v>819.37308834348505</v>
      </c>
      <c r="D2785" s="35">
        <f>+D2784*((1+INFLA!$C$9)^(1/-_xlfn.DAYS($A$2766,$A$2797)))</f>
        <v>823.65799763639882</v>
      </c>
      <c r="E2785" s="35">
        <f>+E2784*((1+INFLA!$D$9)^(1/-_xlfn.DAYS($A$2766,$A$2797)))</f>
        <v>839.40335673669153</v>
      </c>
    </row>
    <row r="2786" spans="1:5" x14ac:dyDescent="0.3">
      <c r="A2786" s="22">
        <v>46269</v>
      </c>
      <c r="C2786" s="35">
        <f>+C2785*((1+INFLA!$B$9)^(1/-_xlfn.DAYS($A$2766,$A$2797)))</f>
        <v>819.8187665420536</v>
      </c>
      <c r="D2786" s="35">
        <f>+D2785*((1+INFLA!$C$9)^(1/-_xlfn.DAYS($A$2766,$A$2797)))</f>
        <v>824.10600650787069</v>
      </c>
      <c r="E2786" s="35">
        <f>+E2785*((1+INFLA!$D$9)^(1/-_xlfn.DAYS($A$2766,$A$2797)))</f>
        <v>839.99281100122971</v>
      </c>
    </row>
    <row r="2787" spans="1:5" x14ac:dyDescent="0.3">
      <c r="A2787" s="22">
        <v>46270</v>
      </c>
      <c r="C2787" s="35">
        <f>+C2786*((1+INFLA!$B$9)^(1/-_xlfn.DAYS($A$2766,$A$2797)))</f>
        <v>820.26468715651242</v>
      </c>
      <c r="D2787" s="35">
        <f>+D2786*((1+INFLA!$C$9)^(1/-_xlfn.DAYS($A$2766,$A$2797)))</f>
        <v>824.55425906294602</v>
      </c>
      <c r="E2787" s="35">
        <f>+E2786*((1+INFLA!$D$9)^(1/-_xlfn.DAYS($A$2766,$A$2797)))</f>
        <v>840.5826791982679</v>
      </c>
    </row>
    <row r="2788" spans="1:5" x14ac:dyDescent="0.3">
      <c r="A2788" s="22">
        <v>46271</v>
      </c>
      <c r="C2788" s="35">
        <f>+C2787*((1+INFLA!$B$9)^(1/-_xlfn.DAYS($A$2766,$A$2797)))</f>
        <v>820.7108503187178</v>
      </c>
      <c r="D2788" s="35">
        <f>+D2787*((1+INFLA!$C$9)^(1/-_xlfn.DAYS($A$2766,$A$2797)))</f>
        <v>825.00275543417069</v>
      </c>
      <c r="E2788" s="35">
        <f>+E2787*((1+INFLA!$D$9)^(1/-_xlfn.DAYS($A$2766,$A$2797)))</f>
        <v>841.17296161848196</v>
      </c>
    </row>
    <row r="2789" spans="1:5" x14ac:dyDescent="0.3">
      <c r="A2789" s="22">
        <v>46272</v>
      </c>
      <c r="C2789" s="35">
        <f>+C2788*((1+INFLA!$B$9)^(1/-_xlfn.DAYS($A$2766,$A$2797)))</f>
        <v>821.15725616059763</v>
      </c>
      <c r="D2789" s="35">
        <f>+D2788*((1+INFLA!$C$9)^(1/-_xlfn.DAYS($A$2766,$A$2797)))</f>
        <v>825.45149575416258</v>
      </c>
      <c r="E2789" s="35">
        <f>+E2788*((1+INFLA!$D$9)^(1/-_xlfn.DAYS($A$2766,$A$2797)))</f>
        <v>841.76365855275185</v>
      </c>
    </row>
    <row r="2790" spans="1:5" x14ac:dyDescent="0.3">
      <c r="A2790" s="22">
        <v>46273</v>
      </c>
      <c r="C2790" s="35">
        <f>+C2789*((1+INFLA!$B$9)^(1/-_xlfn.DAYS($A$2766,$A$2797)))</f>
        <v>821.60390481415175</v>
      </c>
      <c r="D2790" s="35">
        <f>+D2789*((1+INFLA!$C$9)^(1/-_xlfn.DAYS($A$2766,$A$2797)))</f>
        <v>825.90048015561172</v>
      </c>
      <c r="E2790" s="35">
        <f>+E2789*((1+INFLA!$D$9)^(1/-_xlfn.DAYS($A$2766,$A$2797)))</f>
        <v>842.35477029216179</v>
      </c>
    </row>
    <row r="2791" spans="1:5" x14ac:dyDescent="0.3">
      <c r="A2791" s="22">
        <v>46274</v>
      </c>
      <c r="C2791" s="35">
        <f>+C2790*((1+INFLA!$B$9)^(1/-_xlfn.DAYS($A$2766,$A$2797)))</f>
        <v>822.05079641145176</v>
      </c>
      <c r="D2791" s="35">
        <f>+D2790*((1+INFLA!$C$9)^(1/-_xlfn.DAYS($A$2766,$A$2797)))</f>
        <v>826.34970877128023</v>
      </c>
      <c r="E2791" s="35">
        <f>+E2790*((1+INFLA!$D$9)^(1/-_xlfn.DAYS($A$2766,$A$2797)))</f>
        <v>842.94629712800042</v>
      </c>
    </row>
    <row r="2792" spans="1:5" x14ac:dyDescent="0.3">
      <c r="A2792" s="22">
        <v>46275</v>
      </c>
      <c r="C2792" s="35">
        <f>+C2791*((1+INFLA!$B$9)^(1/-_xlfn.DAYS($A$2766,$A$2797)))</f>
        <v>822.49793108464098</v>
      </c>
      <c r="D2792" s="35">
        <f>+D2791*((1+INFLA!$C$9)^(1/-_xlfn.DAYS($A$2766,$A$2797)))</f>
        <v>826.79918173400267</v>
      </c>
      <c r="E2792" s="35">
        <f>+E2791*((1+INFLA!$D$9)^(1/-_xlfn.DAYS($A$2766,$A$2797)))</f>
        <v>843.53823935176092</v>
      </c>
    </row>
    <row r="2793" spans="1:5" x14ac:dyDescent="0.3">
      <c r="A2793" s="22">
        <v>46276</v>
      </c>
      <c r="C2793" s="35">
        <f>+C2792*((1+INFLA!$B$9)^(1/-_xlfn.DAYS($A$2766,$A$2797)))</f>
        <v>822.9453089659346</v>
      </c>
      <c r="D2793" s="35">
        <f>+D2792*((1+INFLA!$C$9)^(1/-_xlfn.DAYS($A$2766,$A$2797)))</f>
        <v>827.24889917668565</v>
      </c>
      <c r="E2793" s="35">
        <f>+E2792*((1+INFLA!$D$9)^(1/-_xlfn.DAYS($A$2766,$A$2797)))</f>
        <v>844.1305972551412</v>
      </c>
    </row>
    <row r="2794" spans="1:5" x14ac:dyDescent="0.3">
      <c r="A2794" s="22">
        <v>46277</v>
      </c>
      <c r="C2794" s="35">
        <f>+C2793*((1+INFLA!$B$9)^(1/-_xlfn.DAYS($A$2766,$A$2797)))</f>
        <v>823.39293018761987</v>
      </c>
      <c r="D2794" s="35">
        <f>+D2793*((1+INFLA!$C$9)^(1/-_xlfn.DAYS($A$2766,$A$2797)))</f>
        <v>827.69886123230822</v>
      </c>
      <c r="E2794" s="35">
        <f>+E2793*((1+INFLA!$D$9)^(1/-_xlfn.DAYS($A$2766,$A$2797)))</f>
        <v>844.72337113004392</v>
      </c>
    </row>
    <row r="2795" spans="1:5" x14ac:dyDescent="0.3">
      <c r="A2795" s="22">
        <v>46278</v>
      </c>
      <c r="C2795" s="35">
        <f>+C2794*((1+INFLA!$B$9)^(1/-_xlfn.DAYS($A$2766,$A$2797)))</f>
        <v>823.84079488205589</v>
      </c>
      <c r="D2795" s="35">
        <f>+D2794*((1+INFLA!$C$9)^(1/-_xlfn.DAYS($A$2766,$A$2797)))</f>
        <v>828.14906803392159</v>
      </c>
      <c r="E2795" s="35">
        <f>+E2794*((1+INFLA!$D$9)^(1/-_xlfn.DAYS($A$2766,$A$2797)))</f>
        <v>845.31656126857683</v>
      </c>
    </row>
    <row r="2796" spans="1:5" x14ac:dyDescent="0.3">
      <c r="A2796" s="22">
        <v>46279</v>
      </c>
      <c r="C2796" s="35">
        <f>+C2795*((1+INFLA!$B$9)^(1/-_xlfn.DAYS($A$2766,$A$2797)))</f>
        <v>824.28890318167385</v>
      </c>
      <c r="D2796" s="35">
        <f>+D2795*((1+INFLA!$C$9)^(1/-_xlfn.DAYS($A$2766,$A$2797)))</f>
        <v>828.59951971464955</v>
      </c>
      <c r="E2796" s="35">
        <f>+E2795*((1+INFLA!$D$9)^(1/-_xlfn.DAYS($A$2766,$A$2797)))</f>
        <v>845.9101679630528</v>
      </c>
    </row>
    <row r="2797" spans="1:5" x14ac:dyDescent="0.3">
      <c r="A2797" s="29">
        <v>46280</v>
      </c>
      <c r="C2797" s="35">
        <f>+C2796*((1+INFLA!$B$9)^(1/-_xlfn.DAYS($A$2766,$A$2797)))</f>
        <v>824.73725521897677</v>
      </c>
      <c r="D2797" s="35">
        <f>+D2796*((1+INFLA!$C$9)^(1/-_xlfn.DAYS($A$2766,$A$2797)))</f>
        <v>829.05021640768803</v>
      </c>
      <c r="E2797" s="35">
        <f>+E2796*((1+INFLA!$D$9)^(1/-_xlfn.DAYS($A$2766,$A$2797)))</f>
        <v>846.50419150598987</v>
      </c>
    </row>
    <row r="2798" spans="1:5" x14ac:dyDescent="0.3">
      <c r="A2798" s="22">
        <v>46281</v>
      </c>
      <c r="C2798" s="35">
        <f>+C2797*((1+INFLA!$B$9)^(1/-_xlfn.DAYS($A$2766,$A$2797)))</f>
        <v>825.18585112654</v>
      </c>
      <c r="D2798" s="35">
        <f>+D2797*((1+INFLA!$C$9)^(1/-_xlfn.DAYS($A$2766,$A$2797)))</f>
        <v>829.50115824630564</v>
      </c>
      <c r="E2798" s="35">
        <f>+E2797*((1+INFLA!$D$9)^(1/-_xlfn.DAYS($A$2766,$A$2797)))</f>
        <v>847.09863219011163</v>
      </c>
    </row>
    <row r="2799" spans="1:5" x14ac:dyDescent="0.3">
      <c r="A2799" s="22">
        <v>46282</v>
      </c>
      <c r="C2799" s="35">
        <f>+C2798*((1+INFLA!$B$9)^(1/-_xlfn.DAYS($A$2766,$A$2797)))</f>
        <v>825.63469103701084</v>
      </c>
      <c r="D2799" s="35">
        <f>+D2798*((1+INFLA!$C$9)^(1/-_xlfn.DAYS($A$2766,$A$2797)))</f>
        <v>829.95234536384339</v>
      </c>
      <c r="E2799" s="35">
        <f>+E2798*((1+INFLA!$D$9)^(1/-_xlfn.DAYS($A$2766,$A$2797)))</f>
        <v>847.69349030834712</v>
      </c>
    </row>
    <row r="2800" spans="1:5" x14ac:dyDescent="0.3">
      <c r="A2800" s="22">
        <v>46283</v>
      </c>
      <c r="C2800" s="35">
        <f>+C2799*((1+INFLA!$B$9)^(1/-_xlfn.DAYS($A$2766,$A$2797)))</f>
        <v>826.08377508310878</v>
      </c>
      <c r="D2800" s="35">
        <f>+D2799*((1+INFLA!$C$9)^(1/-_xlfn.DAYS($A$2766,$A$2797)))</f>
        <v>830.40377789371485</v>
      </c>
      <c r="E2800" s="35">
        <f>+E2799*((1+INFLA!$D$9)^(1/-_xlfn.DAYS($A$2766,$A$2797)))</f>
        <v>848.28876615383103</v>
      </c>
    </row>
    <row r="2801" spans="1:5" x14ac:dyDescent="0.3">
      <c r="A2801" s="22">
        <v>46284</v>
      </c>
      <c r="C2801" s="35">
        <f>+C2800*((1+INFLA!$B$9)^(1/-_xlfn.DAYS($A$2766,$A$2797)))</f>
        <v>826.5331033976255</v>
      </c>
      <c r="D2801" s="35">
        <f>+D2800*((1+INFLA!$C$9)^(1/-_xlfn.DAYS($A$2766,$A$2797)))</f>
        <v>830.85545596940608</v>
      </c>
      <c r="E2801" s="35">
        <f>+E2800*((1+INFLA!$D$9)^(1/-_xlfn.DAYS($A$2766,$A$2797)))</f>
        <v>848.88446001990405</v>
      </c>
    </row>
    <row r="2802" spans="1:5" x14ac:dyDescent="0.3">
      <c r="A2802" s="22">
        <v>46285</v>
      </c>
      <c r="C2802" s="35">
        <f>+C2801*((1+INFLA!$B$9)^(1/-_xlfn.DAYS($A$2766,$A$2797)))</f>
        <v>826.98267611342487</v>
      </c>
      <c r="D2802" s="35">
        <f>+D2801*((1+INFLA!$C$9)^(1/-_xlfn.DAYS($A$2766,$A$2797)))</f>
        <v>831.30737972447582</v>
      </c>
      <c r="E2802" s="35">
        <f>+E2801*((1+INFLA!$D$9)^(1/-_xlfn.DAYS($A$2766,$A$2797)))</f>
        <v>849.48057220011287</v>
      </c>
    </row>
    <row r="2803" spans="1:5" x14ac:dyDescent="0.3">
      <c r="A2803" s="22">
        <v>46286</v>
      </c>
      <c r="C2803" s="35">
        <f>+C2802*((1+INFLA!$B$9)^(1/-_xlfn.DAYS($A$2766,$A$2797)))</f>
        <v>827.43249336344309</v>
      </c>
      <c r="D2803" s="35">
        <f>+D2802*((1+INFLA!$C$9)^(1/-_xlfn.DAYS($A$2766,$A$2797)))</f>
        <v>831.75954929255545</v>
      </c>
      <c r="E2803" s="35">
        <f>+E2802*((1+INFLA!$D$9)^(1/-_xlfn.DAYS($A$2766,$A$2797)))</f>
        <v>850.07710298821019</v>
      </c>
    </row>
    <row r="2804" spans="1:5" x14ac:dyDescent="0.3">
      <c r="A2804" s="22">
        <v>46287</v>
      </c>
      <c r="C2804" s="35">
        <f>+C2803*((1+INFLA!$B$9)^(1/-_xlfn.DAYS($A$2766,$A$2797)))</f>
        <v>827.88255528068862</v>
      </c>
      <c r="D2804" s="35">
        <f>+D2803*((1+INFLA!$C$9)^(1/-_xlfn.DAYS($A$2766,$A$2797)))</f>
        <v>832.21196480734898</v>
      </c>
      <c r="E2804" s="35">
        <f>+E2803*((1+INFLA!$D$9)^(1/-_xlfn.DAYS($A$2766,$A$2797)))</f>
        <v>850.67405267815502</v>
      </c>
    </row>
    <row r="2805" spans="1:5" x14ac:dyDescent="0.3">
      <c r="A2805" s="22">
        <v>46288</v>
      </c>
      <c r="C2805" s="35">
        <f>+C2804*((1+INFLA!$B$9)^(1/-_xlfn.DAYS($A$2766,$A$2797)))</f>
        <v>828.33286199824238</v>
      </c>
      <c r="D2805" s="35">
        <f>+D2804*((1+INFLA!$C$9)^(1/-_xlfn.DAYS($A$2766,$A$2797)))</f>
        <v>832.66462640263319</v>
      </c>
      <c r="E2805" s="35">
        <f>+E2804*((1+INFLA!$D$9)^(1/-_xlfn.DAYS($A$2766,$A$2797)))</f>
        <v>851.27142156411287</v>
      </c>
    </row>
    <row r="2806" spans="1:5" x14ac:dyDescent="0.3">
      <c r="A2806" s="22">
        <v>46289</v>
      </c>
      <c r="C2806" s="35">
        <f>+C2805*((1+INFLA!$B$9)^(1/-_xlfn.DAYS($A$2766,$A$2797)))</f>
        <v>828.78341364925745</v>
      </c>
      <c r="D2806" s="35">
        <f>+D2805*((1+INFLA!$C$9)^(1/-_xlfn.DAYS($A$2766,$A$2797)))</f>
        <v>833.11753421225762</v>
      </c>
      <c r="E2806" s="35">
        <f>+E2805*((1+INFLA!$D$9)^(1/-_xlfn.DAYS($A$2766,$A$2797)))</f>
        <v>851.86920994045579</v>
      </c>
    </row>
    <row r="2807" spans="1:5" x14ac:dyDescent="0.3">
      <c r="A2807" s="22">
        <v>46290</v>
      </c>
      <c r="C2807" s="35">
        <f>+C2806*((1+INFLA!$B$9)^(1/-_xlfn.DAYS($A$2766,$A$2797)))</f>
        <v>829.23421036695959</v>
      </c>
      <c r="D2807" s="35">
        <f>+D2806*((1+INFLA!$C$9)^(1/-_xlfn.DAYS($A$2766,$A$2797)))</f>
        <v>833.57068837014458</v>
      </c>
      <c r="E2807" s="35">
        <f>+E2806*((1+INFLA!$D$9)^(1/-_xlfn.DAYS($A$2766,$A$2797)))</f>
        <v>852.46741810176252</v>
      </c>
    </row>
    <row r="2808" spans="1:5" x14ac:dyDescent="0.3">
      <c r="A2808" s="22">
        <v>46291</v>
      </c>
      <c r="C2808" s="35">
        <f>+C2807*((1+INFLA!$B$9)^(1/-_xlfn.DAYS($A$2766,$A$2797)))</f>
        <v>829.68525228464682</v>
      </c>
      <c r="D2808" s="35">
        <f>+D2807*((1+INFLA!$C$9)^(1/-_xlfn.DAYS($A$2766,$A$2797)))</f>
        <v>834.02408901028934</v>
      </c>
      <c r="E2808" s="35">
        <f>+E2807*((1+INFLA!$D$9)^(1/-_xlfn.DAYS($A$2766,$A$2797)))</f>
        <v>853.06604634281871</v>
      </c>
    </row>
    <row r="2809" spans="1:5" x14ac:dyDescent="0.3">
      <c r="A2809" s="22">
        <v>46292</v>
      </c>
      <c r="C2809" s="35">
        <f>+C2808*((1+INFLA!$B$9)^(1/-_xlfn.DAYS($A$2766,$A$2797)))</f>
        <v>830.13653953568974</v>
      </c>
      <c r="D2809" s="35">
        <f>+D2808*((1+INFLA!$C$9)^(1/-_xlfn.DAYS($A$2766,$A$2797)))</f>
        <v>834.47773626675996</v>
      </c>
      <c r="E2809" s="35">
        <f>+E2808*((1+INFLA!$D$9)^(1/-_xlfn.DAYS($A$2766,$A$2797)))</f>
        <v>853.66509495861692</v>
      </c>
    </row>
    <row r="2810" spans="1:5" x14ac:dyDescent="0.3">
      <c r="A2810" s="22">
        <v>46293</v>
      </c>
      <c r="C2810" s="35">
        <f>+C2809*((1+INFLA!$B$9)^(1/-_xlfn.DAYS($A$2766,$A$2797)))</f>
        <v>830.58807225353155</v>
      </c>
      <c r="D2810" s="35">
        <f>+D2809*((1+INFLA!$C$9)^(1/-_xlfn.DAYS($A$2766,$A$2797)))</f>
        <v>834.93163027369735</v>
      </c>
      <c r="E2810" s="35">
        <f>+E2809*((1+INFLA!$D$9)^(1/-_xlfn.DAYS($A$2766,$A$2797)))</f>
        <v>854.26456424435696</v>
      </c>
    </row>
    <row r="2811" spans="1:5" x14ac:dyDescent="0.3">
      <c r="A2811" s="22">
        <v>46294</v>
      </c>
      <c r="C2811" s="35">
        <f>+C2810*((1+INFLA!$B$9)^(1/-_xlfn.DAYS($A$2766,$A$2797)))</f>
        <v>831.03985057168802</v>
      </c>
      <c r="D2811" s="35">
        <f>+D2810*((1+INFLA!$C$9)^(1/-_xlfn.DAYS($A$2766,$A$2797)))</f>
        <v>835.38577116531553</v>
      </c>
      <c r="E2811" s="35">
        <f>+E2810*((1+INFLA!$D$9)^(1/-_xlfn.DAYS($A$2766,$A$2797)))</f>
        <v>854.8644544954459</v>
      </c>
    </row>
    <row r="2812" spans="1:5" x14ac:dyDescent="0.3">
      <c r="A2812" s="22">
        <v>46295</v>
      </c>
      <c r="C2812" s="35">
        <f>+C2811*((1+INFLA!$B$9)^(1/-_xlfn.DAYS($A$2766,$A$2797)))</f>
        <v>831.49187462374744</v>
      </c>
      <c r="D2812" s="35">
        <f>+D2811*((1+INFLA!$C$9)^(1/-_xlfn.DAYS($A$2766,$A$2797)))</f>
        <v>835.8401590759014</v>
      </c>
      <c r="E2812" s="35">
        <f>+E2811*((1+INFLA!$D$9)^(1/-_xlfn.DAYS($A$2766,$A$2797)))</f>
        <v>855.46476600749827</v>
      </c>
    </row>
    <row r="2813" spans="1:5" x14ac:dyDescent="0.3">
      <c r="A2813" s="22">
        <v>46296</v>
      </c>
      <c r="C2813" s="35">
        <f>+C2812*((1+INFLA!$B$9)^(1/-_xlfn.DAYS($A$2766,$A$2797)))</f>
        <v>831.94414454337084</v>
      </c>
      <c r="D2813" s="35">
        <f>+D2812*((1+INFLA!$C$9)^(1/-_xlfn.DAYS($A$2766,$A$2797)))</f>
        <v>836.29479413981505</v>
      </c>
      <c r="E2813" s="35">
        <f>+E2812*((1+INFLA!$D$9)^(1/-_xlfn.DAYS($A$2766,$A$2797)))</f>
        <v>856.06549907633621</v>
      </c>
    </row>
    <row r="2814" spans="1:5" x14ac:dyDescent="0.3">
      <c r="A2814" s="22">
        <v>46297</v>
      </c>
      <c r="C2814" s="35">
        <f>+C2813*((1+INFLA!$B$9)^(1/-_xlfn.DAYS($A$2766,$A$2797)))</f>
        <v>832.39666046429193</v>
      </c>
      <c r="D2814" s="35">
        <f>+D2813*((1+INFLA!$C$9)^(1/-_xlfn.DAYS($A$2766,$A$2797)))</f>
        <v>836.74967649148948</v>
      </c>
      <c r="E2814" s="35">
        <f>+E2813*((1+INFLA!$D$9)^(1/-_xlfn.DAYS($A$2766,$A$2797)))</f>
        <v>856.66665399798944</v>
      </c>
    </row>
    <row r="2815" spans="1:5" x14ac:dyDescent="0.3">
      <c r="A2815" s="22">
        <v>46298</v>
      </c>
      <c r="C2815" s="35">
        <f>+C2814*((1+INFLA!$B$9)^(1/-_xlfn.DAYS($A$2766,$A$2797)))</f>
        <v>832.84942252031715</v>
      </c>
      <c r="D2815" s="35">
        <f>+D2814*((1+INFLA!$C$9)^(1/-_xlfn.DAYS($A$2766,$A$2797)))</f>
        <v>837.20480626543099</v>
      </c>
      <c r="E2815" s="35">
        <f>+E2814*((1+INFLA!$D$9)^(1/-_xlfn.DAYS($A$2766,$A$2797)))</f>
        <v>857.26823106869585</v>
      </c>
    </row>
    <row r="2816" spans="1:5" x14ac:dyDescent="0.3">
      <c r="A2816" s="22">
        <v>46299</v>
      </c>
      <c r="C2816" s="35">
        <f>+C2815*((1+INFLA!$B$9)^(1/-_xlfn.DAYS($A$2766,$A$2797)))</f>
        <v>833.30243084532583</v>
      </c>
      <c r="D2816" s="35">
        <f>+D2815*((1+INFLA!$C$9)^(1/-_xlfn.DAYS($A$2766,$A$2797)))</f>
        <v>837.66018359621887</v>
      </c>
      <c r="E2816" s="35">
        <f>+E2815*((1+INFLA!$D$9)^(1/-_xlfn.DAYS($A$2766,$A$2797)))</f>
        <v>857.87023058490104</v>
      </c>
    </row>
    <row r="2817" spans="1:5" x14ac:dyDescent="0.3">
      <c r="A2817" s="22">
        <v>46300</v>
      </c>
      <c r="C2817" s="35">
        <f>+C2816*((1+INFLA!$B$9)^(1/-_xlfn.DAYS($A$2766,$A$2797)))</f>
        <v>833.75568557327006</v>
      </c>
      <c r="D2817" s="35">
        <f>+D2816*((1+INFLA!$C$9)^(1/-_xlfn.DAYS($A$2766,$A$2797)))</f>
        <v>838.11580861850575</v>
      </c>
      <c r="E2817" s="35">
        <f>+E2816*((1+INFLA!$D$9)^(1/-_xlfn.DAYS($A$2766,$A$2797)))</f>
        <v>858.47265284325908</v>
      </c>
    </row>
    <row r="2818" spans="1:5" x14ac:dyDescent="0.3">
      <c r="A2818" s="22">
        <v>46301</v>
      </c>
      <c r="C2818" s="35">
        <f>+C2817*((1+INFLA!$B$9)^(1/-_xlfn.DAYS($A$2766,$A$2797)))</f>
        <v>834.20918683817467</v>
      </c>
      <c r="D2818" s="35">
        <f>+D2817*((1+INFLA!$C$9)^(1/-_xlfn.DAYS($A$2766,$A$2797)))</f>
        <v>838.57168146701736</v>
      </c>
      <c r="E2818" s="35">
        <f>+E2817*((1+INFLA!$D$9)^(1/-_xlfn.DAYS($A$2766,$A$2797)))</f>
        <v>859.07549814063213</v>
      </c>
    </row>
    <row r="2819" spans="1:5" x14ac:dyDescent="0.3">
      <c r="A2819" s="22">
        <v>46302</v>
      </c>
      <c r="C2819" s="35">
        <f>+C2818*((1+INFLA!$B$9)^(1/-_xlfn.DAYS($A$2766,$A$2797)))</f>
        <v>834.66293477413751</v>
      </c>
      <c r="D2819" s="35">
        <f>+D2818*((1+INFLA!$C$9)^(1/-_xlfn.DAYS($A$2766,$A$2797)))</f>
        <v>839.02780227655285</v>
      </c>
      <c r="E2819" s="35">
        <f>+E2818*((1+INFLA!$D$9)^(1/-_xlfn.DAYS($A$2766,$A$2797)))</f>
        <v>859.67876677409095</v>
      </c>
    </row>
    <row r="2820" spans="1:5" x14ac:dyDescent="0.3">
      <c r="A2820" s="22">
        <v>46303</v>
      </c>
      <c r="C2820" s="35">
        <f>+C2819*((1+INFLA!$B$9)^(1/-_xlfn.DAYS($A$2766,$A$2797)))</f>
        <v>835.11692951532939</v>
      </c>
      <c r="D2820" s="35">
        <f>+D2819*((1+INFLA!$C$9)^(1/-_xlfn.DAYS($A$2766,$A$2797)))</f>
        <v>839.48417118198461</v>
      </c>
      <c r="E2820" s="35">
        <f>+E2819*((1+INFLA!$D$9)^(1/-_xlfn.DAYS($A$2766,$A$2797)))</f>
        <v>860.28245904091477</v>
      </c>
    </row>
    <row r="2821" spans="1:5" x14ac:dyDescent="0.3">
      <c r="A2821" s="22">
        <v>46304</v>
      </c>
      <c r="C2821" s="35">
        <f>+C2820*((1+INFLA!$B$9)^(1/-_xlfn.DAYS($A$2766,$A$2797)))</f>
        <v>835.571171195994</v>
      </c>
      <c r="D2821" s="35">
        <f>+D2820*((1+INFLA!$C$9)^(1/-_xlfn.DAYS($A$2766,$A$2797)))</f>
        <v>839.94078831825834</v>
      </c>
      <c r="E2821" s="35">
        <f>+E2820*((1+INFLA!$D$9)^(1/-_xlfn.DAYS($A$2766,$A$2797)))</f>
        <v>860.88657523859172</v>
      </c>
    </row>
    <row r="2822" spans="1:5" x14ac:dyDescent="0.3">
      <c r="A2822" s="22">
        <v>46305</v>
      </c>
      <c r="C2822" s="35">
        <f>+C2821*((1+INFLA!$B$9)^(1/-_xlfn.DAYS($A$2766,$A$2797)))</f>
        <v>836.02565995044802</v>
      </c>
      <c r="D2822" s="35">
        <f>+D2821*((1+INFLA!$C$9)^(1/-_xlfn.DAYS($A$2766,$A$2797)))</f>
        <v>840.39765382039332</v>
      </c>
      <c r="E2822" s="35">
        <f>+E2821*((1+INFLA!$D$9)^(1/-_xlfn.DAYS($A$2766,$A$2797)))</f>
        <v>861.49111566481884</v>
      </c>
    </row>
    <row r="2823" spans="1:5" x14ac:dyDescent="0.3">
      <c r="A2823" s="22">
        <v>46306</v>
      </c>
      <c r="C2823" s="35">
        <f>+C2822*((1+INFLA!$B$9)^(1/-_xlfn.DAYS($A$2766,$A$2797)))</f>
        <v>836.48039591308145</v>
      </c>
      <c r="D2823" s="35">
        <f>+D2822*((1+INFLA!$C$9)^(1/-_xlfn.DAYS($A$2766,$A$2797)))</f>
        <v>840.85476782348212</v>
      </c>
      <c r="E2823" s="35">
        <f>+E2822*((1+INFLA!$D$9)^(1/-_xlfn.DAYS($A$2766,$A$2797)))</f>
        <v>862.09608061750203</v>
      </c>
    </row>
    <row r="2824" spans="1:5" x14ac:dyDescent="0.3">
      <c r="A2824" s="22">
        <v>46307</v>
      </c>
      <c r="C2824" s="35">
        <f>+C2823*((1+INFLA!$B$9)^(1/-_xlfn.DAYS($A$2766,$A$2797)))</f>
        <v>836.93537921835707</v>
      </c>
      <c r="D2824" s="35">
        <f>+D2823*((1+INFLA!$C$9)^(1/-_xlfn.DAYS($A$2766,$A$2797)))</f>
        <v>841.31213046269079</v>
      </c>
      <c r="E2824" s="35">
        <f>+E2823*((1+INFLA!$D$9)^(1/-_xlfn.DAYS($A$2766,$A$2797)))</f>
        <v>862.70147039475671</v>
      </c>
    </row>
    <row r="2825" spans="1:5" x14ac:dyDescent="0.3">
      <c r="A2825" s="22">
        <v>46308</v>
      </c>
      <c r="C2825" s="35">
        <f>+C2824*((1+INFLA!$B$9)^(1/-_xlfn.DAYS($A$2766,$A$2797)))</f>
        <v>837.39061000081097</v>
      </c>
      <c r="D2825" s="35">
        <f>+D2824*((1+INFLA!$C$9)^(1/-_xlfn.DAYS($A$2766,$A$2797)))</f>
        <v>841.76974187325891</v>
      </c>
      <c r="E2825" s="35">
        <f>+E2824*((1+INFLA!$D$9)^(1/-_xlfn.DAYS($A$2766,$A$2797)))</f>
        <v>863.30728529490739</v>
      </c>
    </row>
    <row r="2826" spans="1:5" x14ac:dyDescent="0.3">
      <c r="A2826" s="22">
        <v>46309</v>
      </c>
      <c r="C2826" s="35">
        <f>+C2825*((1+INFLA!$B$9)^(1/-_xlfn.DAYS($A$2766,$A$2797)))</f>
        <v>837.84608839505245</v>
      </c>
      <c r="D2826" s="35">
        <f>+D2825*((1+INFLA!$C$9)^(1/-_xlfn.DAYS($A$2766,$A$2797)))</f>
        <v>842.22760219049974</v>
      </c>
      <c r="E2826" s="35">
        <f>+E2825*((1+INFLA!$D$9)^(1/-_xlfn.DAYS($A$2766,$A$2797)))</f>
        <v>863.91352561648807</v>
      </c>
    </row>
    <row r="2827" spans="1:5" x14ac:dyDescent="0.3">
      <c r="A2827" s="29">
        <v>46310</v>
      </c>
      <c r="C2827" s="35">
        <f>+C2826*((1+INFLA!$B$9)^(1/-_xlfn.DAYS($A$2766,$A$2797)))</f>
        <v>838.30181453576392</v>
      </c>
      <c r="D2827" s="35">
        <f>+D2826*((1+INFLA!$C$9)^(1/-_xlfn.DAYS($A$2766,$A$2797)))</f>
        <v>842.68571154980009</v>
      </c>
      <c r="E2827" s="35">
        <f>+E2826*((1+INFLA!$D$9)^(1/-_xlfn.DAYS($A$2766,$A$2797)))</f>
        <v>864.52019165824254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0591-3D3C-4B54-B1B9-5A6FCD41E661}">
  <dimension ref="A2:H16"/>
  <sheetViews>
    <sheetView workbookViewId="0">
      <selection activeCell="C6" sqref="C6"/>
    </sheetView>
  </sheetViews>
  <sheetFormatPr baseColWidth="10" defaultRowHeight="14.4" x14ac:dyDescent="0.3"/>
  <cols>
    <col min="2" max="2" width="19" bestFit="1" customWidth="1"/>
    <col min="4" max="5" width="17.77734375" bestFit="1" customWidth="1"/>
  </cols>
  <sheetData>
    <row r="2" spans="1:8" x14ac:dyDescent="0.3">
      <c r="A2" s="24" t="s">
        <v>29</v>
      </c>
      <c r="B2" s="24" t="s">
        <v>31</v>
      </c>
      <c r="C2" s="30" t="s">
        <v>30</v>
      </c>
      <c r="D2" s="30" t="s">
        <v>32</v>
      </c>
    </row>
    <row r="3" spans="1:8" x14ac:dyDescent="0.3">
      <c r="A3" s="25">
        <v>46023</v>
      </c>
      <c r="B3" s="26">
        <v>2.9000000000000001E-2</v>
      </c>
      <c r="D3" s="28">
        <f>+B3</f>
        <v>2.9000000000000001E-2</v>
      </c>
    </row>
    <row r="4" spans="1:8" x14ac:dyDescent="0.3">
      <c r="A4" s="25">
        <v>46054</v>
      </c>
      <c r="B4" s="26">
        <v>2.9000000000000001E-2</v>
      </c>
      <c r="D4" s="28">
        <f>+B4</f>
        <v>2.9000000000000001E-2</v>
      </c>
    </row>
    <row r="5" spans="1:8" x14ac:dyDescent="0.3">
      <c r="A5" s="25">
        <v>46082</v>
      </c>
      <c r="B5" s="26">
        <v>2.7E-2</v>
      </c>
      <c r="C5" s="45">
        <v>0.03</v>
      </c>
      <c r="D5" s="44">
        <v>3.2000000000000001E-2</v>
      </c>
    </row>
    <row r="6" spans="1:8" x14ac:dyDescent="0.3">
      <c r="A6" s="25">
        <v>46113</v>
      </c>
      <c r="B6" s="26">
        <v>2.1000000000000001E-2</v>
      </c>
      <c r="C6" s="45">
        <v>2.1999999999999999E-2</v>
      </c>
      <c r="D6" s="44">
        <v>2.7E-2</v>
      </c>
    </row>
    <row r="7" spans="1:8" x14ac:dyDescent="0.3">
      <c r="A7" s="25">
        <v>46143</v>
      </c>
      <c r="B7" s="26">
        <v>1.9E-2</v>
      </c>
      <c r="C7" s="45">
        <v>1.9E-2</v>
      </c>
      <c r="D7" s="44">
        <v>2.4E-2</v>
      </c>
    </row>
    <row r="8" spans="1:8" x14ac:dyDescent="0.3">
      <c r="A8" s="25">
        <v>46174</v>
      </c>
      <c r="B8" s="26">
        <v>1.7999999999999999E-2</v>
      </c>
      <c r="C8" s="45">
        <v>1.7999999999999999E-2</v>
      </c>
      <c r="D8" s="44">
        <v>2.1999999999999999E-2</v>
      </c>
    </row>
    <row r="9" spans="1:8" x14ac:dyDescent="0.3">
      <c r="A9" s="25">
        <v>46204</v>
      </c>
      <c r="B9" s="26">
        <v>1.7000000000000001E-2</v>
      </c>
      <c r="C9" s="45">
        <v>1.7000000000000001E-2</v>
      </c>
      <c r="D9" s="44">
        <v>2.1999999999999999E-2</v>
      </c>
    </row>
    <row r="10" spans="1:8" x14ac:dyDescent="0.3">
      <c r="A10" s="25">
        <v>46235</v>
      </c>
      <c r="B10" s="26">
        <v>1.7000000000000001E-2</v>
      </c>
      <c r="C10" s="45">
        <v>1.4999999999999999E-2</v>
      </c>
      <c r="D10" s="44">
        <v>0.02</v>
      </c>
    </row>
    <row r="11" spans="1:8" x14ac:dyDescent="0.3">
      <c r="A11" s="25">
        <v>46266</v>
      </c>
      <c r="B11" s="26">
        <v>1.7000000000000001E-2</v>
      </c>
      <c r="C11" s="45"/>
      <c r="D11" s="44">
        <v>0.02</v>
      </c>
    </row>
    <row r="12" spans="1:8" x14ac:dyDescent="0.3">
      <c r="A12" s="25">
        <v>46296</v>
      </c>
      <c r="B12" s="26">
        <v>1.7000000000000001E-2</v>
      </c>
      <c r="C12" s="45"/>
      <c r="D12" s="44">
        <v>1.9E-2</v>
      </c>
      <c r="H12">
        <f>20025872*0.995</f>
        <v>19925742.640000001</v>
      </c>
    </row>
    <row r="13" spans="1:8" x14ac:dyDescent="0.3">
      <c r="A13" s="25">
        <v>46327</v>
      </c>
      <c r="B13" s="26">
        <v>1.7000000000000001E-2</v>
      </c>
      <c r="C13" s="45"/>
      <c r="D13" s="44">
        <v>1.9E-2</v>
      </c>
      <c r="H13">
        <v>874</v>
      </c>
    </row>
    <row r="14" spans="1:8" x14ac:dyDescent="0.3">
      <c r="A14" s="25">
        <v>46357</v>
      </c>
      <c r="B14" s="26">
        <v>1.7000000000000001E-2</v>
      </c>
      <c r="C14" s="45"/>
      <c r="D14" s="44">
        <v>1.7999999999999999E-2</v>
      </c>
      <c r="H14">
        <f>+H12/H13</f>
        <v>22798.332540045769</v>
      </c>
    </row>
    <row r="15" spans="1:8" x14ac:dyDescent="0.3">
      <c r="A15" s="27"/>
      <c r="D15" s="34"/>
    </row>
    <row r="16" spans="1:8" x14ac:dyDescent="0.3">
      <c r="D16" s="28">
        <v>0.32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BB81-FD24-4FBF-8F65-A764FE739227}">
  <dimension ref="A1:I214"/>
  <sheetViews>
    <sheetView topLeftCell="A109" workbookViewId="0">
      <selection activeCell="L11" sqref="L11"/>
    </sheetView>
  </sheetViews>
  <sheetFormatPr baseColWidth="10" defaultRowHeight="14.4" x14ac:dyDescent="0.3"/>
  <sheetData>
    <row r="1" spans="1:9" x14ac:dyDescent="0.3">
      <c r="A1" s="47" t="s">
        <v>4</v>
      </c>
      <c r="B1" s="48"/>
      <c r="C1" s="48"/>
      <c r="D1" s="48"/>
    </row>
    <row r="2" spans="1:9" x14ac:dyDescent="0.3">
      <c r="A2" s="3" t="s">
        <v>0</v>
      </c>
      <c r="B2" s="4" t="s">
        <v>1</v>
      </c>
      <c r="C2" s="4" t="s">
        <v>2</v>
      </c>
      <c r="D2" s="5" t="s">
        <v>3</v>
      </c>
    </row>
    <row r="3" spans="1:9" x14ac:dyDescent="0.3">
      <c r="A3" s="6">
        <v>45900</v>
      </c>
      <c r="B3" s="7">
        <v>0.75</v>
      </c>
      <c r="C3" s="7">
        <v>0</v>
      </c>
      <c r="D3" s="7">
        <v>0.75</v>
      </c>
    </row>
    <row r="4" spans="1:9" x14ac:dyDescent="0.3">
      <c r="A4" s="6">
        <v>45991</v>
      </c>
      <c r="B4" s="7">
        <v>0.75</v>
      </c>
      <c r="C4" s="7">
        <v>33</v>
      </c>
      <c r="D4" s="7">
        <v>33.75</v>
      </c>
    </row>
    <row r="5" spans="1:9" x14ac:dyDescent="0.3">
      <c r="A5" s="6">
        <v>46081</v>
      </c>
      <c r="B5" s="7">
        <v>0.49</v>
      </c>
      <c r="C5" s="7">
        <v>33</v>
      </c>
      <c r="D5" s="7">
        <v>33.49</v>
      </c>
      <c r="H5" s="10">
        <v>45412</v>
      </c>
      <c r="I5" s="15" t="s">
        <v>10</v>
      </c>
    </row>
    <row r="6" spans="1:9" x14ac:dyDescent="0.3">
      <c r="A6" s="6">
        <v>46173</v>
      </c>
      <c r="B6" s="7">
        <v>0.26</v>
      </c>
      <c r="C6" s="7">
        <v>34</v>
      </c>
      <c r="D6" s="7">
        <v>34.26</v>
      </c>
      <c r="H6" s="8">
        <v>45323</v>
      </c>
      <c r="I6" s="15" t="s">
        <v>5</v>
      </c>
    </row>
    <row r="7" spans="1:9" x14ac:dyDescent="0.3">
      <c r="H7" s="10">
        <v>44078</v>
      </c>
      <c r="I7" s="15" t="s">
        <v>16</v>
      </c>
    </row>
    <row r="8" spans="1:9" x14ac:dyDescent="0.3">
      <c r="A8" s="47" t="s">
        <v>5</v>
      </c>
      <c r="B8" s="48"/>
      <c r="C8" s="48"/>
      <c r="D8" s="48"/>
      <c r="H8" s="10">
        <v>45596</v>
      </c>
      <c r="I8" s="15" t="s">
        <v>11</v>
      </c>
    </row>
    <row r="9" spans="1:9" x14ac:dyDescent="0.3">
      <c r="A9" s="3" t="s">
        <v>0</v>
      </c>
      <c r="B9" s="4" t="s">
        <v>1</v>
      </c>
      <c r="C9" s="4" t="s">
        <v>2</v>
      </c>
      <c r="D9" s="5" t="s">
        <v>3</v>
      </c>
      <c r="H9" s="10">
        <v>45366</v>
      </c>
      <c r="I9" s="15" t="s">
        <v>12</v>
      </c>
    </row>
    <row r="10" spans="1:9" x14ac:dyDescent="0.3">
      <c r="A10" s="8">
        <v>45323</v>
      </c>
      <c r="B10" s="9"/>
      <c r="C10" s="9"/>
      <c r="D10" s="7"/>
      <c r="H10" s="10">
        <v>45432</v>
      </c>
      <c r="I10" s="15" t="s">
        <v>13</v>
      </c>
    </row>
    <row r="11" spans="1:9" x14ac:dyDescent="0.3">
      <c r="A11" s="6">
        <v>46203</v>
      </c>
      <c r="B11" s="7">
        <f>100*L9</f>
        <v>0</v>
      </c>
      <c r="C11" s="7">
        <v>0</v>
      </c>
      <c r="D11" s="7">
        <f>B11+C11</f>
        <v>0</v>
      </c>
      <c r="H11" s="16">
        <v>45989</v>
      </c>
      <c r="I11" s="17" t="s">
        <v>23</v>
      </c>
    </row>
    <row r="12" spans="1:9" x14ac:dyDescent="0.3">
      <c r="H12" s="16">
        <v>46006</v>
      </c>
      <c r="I12" s="17" t="s">
        <v>24</v>
      </c>
    </row>
    <row r="13" spans="1:9" x14ac:dyDescent="0.3">
      <c r="A13" s="47" t="s">
        <v>6</v>
      </c>
      <c r="B13" s="48"/>
      <c r="C13" s="48"/>
      <c r="D13" s="48"/>
      <c r="H13" s="8">
        <v>45323</v>
      </c>
      <c r="I13" s="17" t="s">
        <v>6</v>
      </c>
    </row>
    <row r="14" spans="1:9" x14ac:dyDescent="0.3">
      <c r="A14" s="3" t="s">
        <v>0</v>
      </c>
      <c r="B14" s="4" t="s">
        <v>1</v>
      </c>
      <c r="C14" s="4" t="s">
        <v>2</v>
      </c>
      <c r="D14" s="5" t="s">
        <v>3</v>
      </c>
      <c r="H14" s="10">
        <v>45366</v>
      </c>
      <c r="I14" s="17" t="s">
        <v>14</v>
      </c>
    </row>
    <row r="15" spans="1:9" x14ac:dyDescent="0.3">
      <c r="A15" s="8">
        <v>45323</v>
      </c>
      <c r="B15" s="9"/>
      <c r="C15" s="9"/>
      <c r="D15" s="7"/>
      <c r="H15" s="8">
        <v>45323</v>
      </c>
      <c r="I15" s="17" t="s">
        <v>7</v>
      </c>
    </row>
    <row r="16" spans="1:9" x14ac:dyDescent="0.3">
      <c r="A16" s="6">
        <v>46568</v>
      </c>
      <c r="B16" s="7">
        <f>100*L14</f>
        <v>0</v>
      </c>
      <c r="C16" s="7">
        <v>0</v>
      </c>
      <c r="D16" s="7">
        <f>B16+C16</f>
        <v>0</v>
      </c>
      <c r="H16" s="10">
        <v>44078</v>
      </c>
      <c r="I16" s="17" t="s">
        <v>17</v>
      </c>
    </row>
    <row r="17" spans="1:9" x14ac:dyDescent="0.3">
      <c r="H17" s="10">
        <v>44712</v>
      </c>
      <c r="I17" s="17" t="s">
        <v>18</v>
      </c>
    </row>
    <row r="18" spans="1:9" x14ac:dyDescent="0.3">
      <c r="A18" s="47" t="s">
        <v>7</v>
      </c>
      <c r="B18" s="48"/>
      <c r="C18" s="48"/>
      <c r="D18" s="48"/>
      <c r="H18" s="10">
        <v>37986</v>
      </c>
      <c r="I18" s="17" t="s">
        <v>19</v>
      </c>
    </row>
    <row r="19" spans="1:9" x14ac:dyDescent="0.3">
      <c r="A19" s="3" t="s">
        <v>0</v>
      </c>
      <c r="B19" s="4" t="s">
        <v>1</v>
      </c>
      <c r="C19" s="4" t="s">
        <v>2</v>
      </c>
      <c r="D19" s="5" t="s">
        <v>3</v>
      </c>
      <c r="H19" s="10">
        <v>37986</v>
      </c>
      <c r="I19" s="17" t="s">
        <v>20</v>
      </c>
    </row>
    <row r="20" spans="1:9" x14ac:dyDescent="0.3">
      <c r="A20" s="8">
        <v>45323</v>
      </c>
      <c r="B20" s="9"/>
      <c r="C20" s="9"/>
      <c r="D20" s="7"/>
      <c r="H20" s="10">
        <v>37986</v>
      </c>
      <c r="I20" s="17" t="s">
        <v>21</v>
      </c>
    </row>
    <row r="21" spans="1:9" x14ac:dyDescent="0.3">
      <c r="A21" s="6">
        <v>46934</v>
      </c>
      <c r="B21" s="7">
        <f>100*L19</f>
        <v>0</v>
      </c>
      <c r="C21" s="7">
        <v>0</v>
      </c>
      <c r="D21" s="7">
        <f>B21+C21</f>
        <v>0</v>
      </c>
      <c r="H21" s="16">
        <v>45989</v>
      </c>
      <c r="I21" s="17" t="s">
        <v>25</v>
      </c>
    </row>
    <row r="22" spans="1:9" x14ac:dyDescent="0.3">
      <c r="H22" s="16">
        <v>46006</v>
      </c>
      <c r="I22" s="17" t="s">
        <v>26</v>
      </c>
    </row>
    <row r="23" spans="1:9" x14ac:dyDescent="0.3">
      <c r="A23" s="47" t="s">
        <v>8</v>
      </c>
      <c r="B23" s="48"/>
      <c r="C23" s="48"/>
      <c r="D23" s="48"/>
    </row>
    <row r="24" spans="1:9" x14ac:dyDescent="0.3">
      <c r="A24" s="3" t="s">
        <v>0</v>
      </c>
      <c r="B24" s="4" t="s">
        <v>1</v>
      </c>
      <c r="C24" s="4" t="s">
        <v>2</v>
      </c>
      <c r="D24" s="5" t="s">
        <v>3</v>
      </c>
    </row>
    <row r="25" spans="1:9" x14ac:dyDescent="0.3">
      <c r="A25" s="8">
        <v>45596</v>
      </c>
      <c r="B25" s="9"/>
      <c r="C25" s="9"/>
      <c r="D25" s="7"/>
    </row>
    <row r="26" spans="1:9" x14ac:dyDescent="0.3">
      <c r="A26" s="6">
        <v>45961</v>
      </c>
      <c r="B26" s="7">
        <f>100*L24</f>
        <v>0</v>
      </c>
      <c r="C26" s="7">
        <v>0</v>
      </c>
      <c r="D26" s="7">
        <f>B26+C26</f>
        <v>0</v>
      </c>
    </row>
    <row r="28" spans="1:9" x14ac:dyDescent="0.3">
      <c r="A28" s="47" t="s">
        <v>9</v>
      </c>
      <c r="B28" s="48"/>
      <c r="C28" s="48"/>
      <c r="D28" s="48"/>
    </row>
    <row r="29" spans="1:9" x14ac:dyDescent="0.3">
      <c r="A29" s="3" t="s">
        <v>0</v>
      </c>
      <c r="B29" s="4" t="s">
        <v>1</v>
      </c>
      <c r="C29" s="4" t="s">
        <v>2</v>
      </c>
      <c r="D29" s="5" t="s">
        <v>3</v>
      </c>
    </row>
    <row r="30" spans="1:9" x14ac:dyDescent="0.3">
      <c r="A30" s="10">
        <v>45366</v>
      </c>
      <c r="B30" s="9"/>
      <c r="C30" s="9"/>
      <c r="D30" s="7"/>
    </row>
    <row r="31" spans="1:9" x14ac:dyDescent="0.3">
      <c r="A31" s="6">
        <v>46006</v>
      </c>
      <c r="B31" s="7">
        <f>100*L29</f>
        <v>0</v>
      </c>
      <c r="C31" s="7">
        <v>0</v>
      </c>
      <c r="D31" s="7">
        <f>B31+C31</f>
        <v>0</v>
      </c>
    </row>
    <row r="33" spans="1:4" x14ac:dyDescent="0.3">
      <c r="A33" s="47" t="s">
        <v>10</v>
      </c>
      <c r="B33" s="48"/>
      <c r="C33" s="48"/>
      <c r="D33" s="48"/>
    </row>
    <row r="34" spans="1:4" x14ac:dyDescent="0.3">
      <c r="A34" s="3" t="s">
        <v>0</v>
      </c>
      <c r="B34" s="4" t="s">
        <v>1</v>
      </c>
      <c r="C34" s="4" t="s">
        <v>2</v>
      </c>
      <c r="D34" s="5" t="s">
        <v>3</v>
      </c>
    </row>
    <row r="35" spans="1:4" x14ac:dyDescent="0.3">
      <c r="A35" s="10">
        <v>45412</v>
      </c>
      <c r="B35" s="9"/>
      <c r="C35" s="9"/>
      <c r="D35" s="7"/>
    </row>
    <row r="36" spans="1:4" x14ac:dyDescent="0.3">
      <c r="A36" s="6">
        <v>46112</v>
      </c>
      <c r="B36" s="7">
        <f>100*L34</f>
        <v>0</v>
      </c>
      <c r="C36" s="7">
        <v>0</v>
      </c>
      <c r="D36" s="7">
        <f>B36+C36</f>
        <v>0</v>
      </c>
    </row>
    <row r="38" spans="1:4" x14ac:dyDescent="0.3">
      <c r="A38" s="47" t="s">
        <v>11</v>
      </c>
      <c r="B38" s="48"/>
      <c r="C38" s="48"/>
      <c r="D38" s="48"/>
    </row>
    <row r="39" spans="1:4" x14ac:dyDescent="0.3">
      <c r="A39" s="3" t="s">
        <v>0</v>
      </c>
      <c r="B39" s="4" t="s">
        <v>1</v>
      </c>
      <c r="C39" s="4" t="s">
        <v>2</v>
      </c>
      <c r="D39" s="5" t="s">
        <v>3</v>
      </c>
    </row>
    <row r="40" spans="1:4" x14ac:dyDescent="0.3">
      <c r="A40" s="10">
        <v>45596</v>
      </c>
      <c r="B40" s="9"/>
      <c r="C40" s="9"/>
      <c r="D40" s="7"/>
    </row>
    <row r="41" spans="1:4" x14ac:dyDescent="0.3">
      <c r="A41" s="6">
        <v>46326</v>
      </c>
      <c r="B41" s="7">
        <f>100*L39</f>
        <v>0</v>
      </c>
      <c r="C41" s="7">
        <v>0</v>
      </c>
      <c r="D41" s="7">
        <f>B41+C41</f>
        <v>0</v>
      </c>
    </row>
    <row r="43" spans="1:4" x14ac:dyDescent="0.3">
      <c r="A43" s="47" t="s">
        <v>12</v>
      </c>
      <c r="B43" s="48"/>
      <c r="C43" s="48"/>
      <c r="D43" s="48"/>
    </row>
    <row r="44" spans="1:4" x14ac:dyDescent="0.3">
      <c r="A44" s="3" t="s">
        <v>0</v>
      </c>
      <c r="B44" s="4" t="s">
        <v>1</v>
      </c>
      <c r="C44" s="4" t="s">
        <v>2</v>
      </c>
      <c r="D44" s="5" t="s">
        <v>3</v>
      </c>
    </row>
    <row r="45" spans="1:4" x14ac:dyDescent="0.3">
      <c r="A45" s="10">
        <v>45366</v>
      </c>
      <c r="B45" s="9"/>
      <c r="C45" s="9"/>
      <c r="D45" s="7"/>
    </row>
    <row r="46" spans="1:4" x14ac:dyDescent="0.3">
      <c r="A46" s="6">
        <v>46371</v>
      </c>
      <c r="B46" s="7">
        <f>100*L44</f>
        <v>0</v>
      </c>
      <c r="C46" s="7">
        <v>0</v>
      </c>
      <c r="D46" s="7">
        <f>B46+C46</f>
        <v>0</v>
      </c>
    </row>
    <row r="48" spans="1:4" x14ac:dyDescent="0.3">
      <c r="A48" s="47" t="s">
        <v>13</v>
      </c>
      <c r="B48" s="48"/>
      <c r="C48" s="48"/>
      <c r="D48" s="48"/>
    </row>
    <row r="49" spans="1:4" x14ac:dyDescent="0.3">
      <c r="A49" s="3" t="s">
        <v>0</v>
      </c>
      <c r="B49" s="4" t="s">
        <v>1</v>
      </c>
      <c r="C49" s="4" t="s">
        <v>2</v>
      </c>
      <c r="D49" s="5" t="s">
        <v>3</v>
      </c>
    </row>
    <row r="50" spans="1:4" x14ac:dyDescent="0.3">
      <c r="A50" s="10">
        <v>45432</v>
      </c>
      <c r="B50" s="9"/>
      <c r="C50" s="9"/>
      <c r="D50" s="7"/>
    </row>
    <row r="51" spans="1:4" x14ac:dyDescent="0.3">
      <c r="A51" s="6">
        <v>46477</v>
      </c>
      <c r="B51" s="7">
        <f>100*L49</f>
        <v>0</v>
      </c>
      <c r="C51" s="7">
        <v>0</v>
      </c>
      <c r="D51" s="7">
        <f>B51+C51</f>
        <v>0</v>
      </c>
    </row>
    <row r="53" spans="1:4" x14ac:dyDescent="0.3">
      <c r="A53" s="47" t="s">
        <v>14</v>
      </c>
      <c r="B53" s="48"/>
      <c r="C53" s="48"/>
      <c r="D53" s="48"/>
    </row>
    <row r="54" spans="1:4" x14ac:dyDescent="0.3">
      <c r="A54" s="3" t="s">
        <v>0</v>
      </c>
      <c r="B54" s="4" t="s">
        <v>1</v>
      </c>
      <c r="C54" s="4" t="s">
        <v>2</v>
      </c>
      <c r="D54" s="5" t="s">
        <v>3</v>
      </c>
    </row>
    <row r="55" spans="1:4" x14ac:dyDescent="0.3">
      <c r="A55" s="10">
        <v>45366</v>
      </c>
      <c r="B55" s="9"/>
      <c r="C55" s="9"/>
      <c r="D55" s="7"/>
    </row>
    <row r="56" spans="1:4" x14ac:dyDescent="0.3">
      <c r="A56" s="6">
        <v>46736</v>
      </c>
      <c r="B56" s="7">
        <f>100*L54</f>
        <v>0</v>
      </c>
      <c r="C56" s="7">
        <v>0</v>
      </c>
      <c r="D56" s="7">
        <f>B56+C56</f>
        <v>0</v>
      </c>
    </row>
    <row r="58" spans="1:4" x14ac:dyDescent="0.3">
      <c r="A58" s="47" t="s">
        <v>15</v>
      </c>
      <c r="B58" s="48"/>
      <c r="C58" s="48"/>
      <c r="D58" s="48"/>
    </row>
    <row r="59" spans="1:4" x14ac:dyDescent="0.3">
      <c r="A59" s="3" t="s">
        <v>0</v>
      </c>
      <c r="B59" s="4" t="s">
        <v>1</v>
      </c>
      <c r="C59" s="4" t="s">
        <v>2</v>
      </c>
      <c r="D59" s="5" t="s">
        <v>3</v>
      </c>
    </row>
    <row r="60" spans="1:4" x14ac:dyDescent="0.3">
      <c r="A60" s="10">
        <v>44704</v>
      </c>
      <c r="B60" s="11"/>
      <c r="C60" s="11"/>
      <c r="D60" s="7"/>
    </row>
    <row r="61" spans="1:4" x14ac:dyDescent="0.3">
      <c r="A61" s="6">
        <v>45970</v>
      </c>
      <c r="B61" s="7">
        <f>(100*L59)*(0.018/2)</f>
        <v>0</v>
      </c>
      <c r="C61" s="7">
        <f>100*L59</f>
        <v>0</v>
      </c>
      <c r="D61" s="7">
        <f>C61+B61</f>
        <v>0</v>
      </c>
    </row>
    <row r="63" spans="1:4" x14ac:dyDescent="0.3">
      <c r="A63" s="47" t="s">
        <v>16</v>
      </c>
      <c r="B63" s="48"/>
      <c r="C63" s="48"/>
      <c r="D63" s="48"/>
    </row>
    <row r="64" spans="1:4" x14ac:dyDescent="0.3">
      <c r="A64" s="3" t="s">
        <v>0</v>
      </c>
      <c r="B64" s="4" t="s">
        <v>1</v>
      </c>
      <c r="C64" s="4" t="s">
        <v>2</v>
      </c>
      <c r="D64" s="5" t="s">
        <v>3</v>
      </c>
    </row>
    <row r="65" spans="1:4" x14ac:dyDescent="0.3">
      <c r="A65" s="10">
        <v>44078</v>
      </c>
      <c r="B65" s="11"/>
      <c r="C65" s="11"/>
      <c r="D65" s="7"/>
    </row>
    <row r="66" spans="1:4" x14ac:dyDescent="0.3">
      <c r="A66" s="6">
        <v>45970</v>
      </c>
      <c r="B66" s="12">
        <f>(100*$L$340*0.6)*(0.02/2)</f>
        <v>0</v>
      </c>
      <c r="C66" s="12">
        <f t="shared" ref="C66:C68" si="0">(100*$L$340)*0.2</f>
        <v>0</v>
      </c>
      <c r="D66" s="7">
        <f t="shared" ref="D66:D68" si="1">C66+B66</f>
        <v>0</v>
      </c>
    </row>
    <row r="67" spans="1:4" x14ac:dyDescent="0.3">
      <c r="A67" s="6">
        <v>46151</v>
      </c>
      <c r="B67" s="12">
        <f>(100*$L$340*0.4)*(0.02/2)</f>
        <v>0</v>
      </c>
      <c r="C67" s="12">
        <f t="shared" si="0"/>
        <v>0</v>
      </c>
      <c r="D67" s="13">
        <f t="shared" si="1"/>
        <v>0</v>
      </c>
    </row>
    <row r="68" spans="1:4" x14ac:dyDescent="0.3">
      <c r="A68" s="6">
        <v>46335</v>
      </c>
      <c r="B68" s="12">
        <f>(100*$L$340*0.2)*(0.02/2)</f>
        <v>0</v>
      </c>
      <c r="C68" s="12">
        <f t="shared" si="0"/>
        <v>0</v>
      </c>
      <c r="D68" s="13">
        <f t="shared" si="1"/>
        <v>0</v>
      </c>
    </row>
    <row r="70" spans="1:4" x14ac:dyDescent="0.3">
      <c r="A70" s="47" t="s">
        <v>17</v>
      </c>
      <c r="B70" s="48"/>
      <c r="C70" s="48"/>
      <c r="D70" s="48"/>
    </row>
    <row r="71" spans="1:4" x14ac:dyDescent="0.3">
      <c r="A71" s="3" t="s">
        <v>0</v>
      </c>
      <c r="B71" s="4" t="s">
        <v>1</v>
      </c>
      <c r="C71" s="4" t="s">
        <v>2</v>
      </c>
      <c r="D71" s="5" t="s">
        <v>3</v>
      </c>
    </row>
    <row r="72" spans="1:4" x14ac:dyDescent="0.3">
      <c r="A72" s="10">
        <v>44078</v>
      </c>
      <c r="B72" s="11"/>
      <c r="C72" s="11"/>
      <c r="D72" s="7"/>
    </row>
    <row r="73" spans="1:4" x14ac:dyDescent="0.3">
      <c r="A73" s="6">
        <v>45970</v>
      </c>
      <c r="B73" s="12">
        <f>(100*$L$340*0.7)*(0.0225/2)</f>
        <v>0</v>
      </c>
      <c r="C73" s="12">
        <f t="shared" ref="C73:C79" si="2">(100*$L$340)*0.1</f>
        <v>0</v>
      </c>
      <c r="D73" s="7">
        <f t="shared" ref="D73:D79" si="3">C73+B73</f>
        <v>0</v>
      </c>
    </row>
    <row r="74" spans="1:4" x14ac:dyDescent="0.3">
      <c r="A74" s="6">
        <v>46151</v>
      </c>
      <c r="B74" s="12">
        <f>(100*$L$340*0.6)*(0.0225/2)</f>
        <v>0</v>
      </c>
      <c r="C74" s="12">
        <f t="shared" si="2"/>
        <v>0</v>
      </c>
      <c r="D74" s="13">
        <f t="shared" si="3"/>
        <v>0</v>
      </c>
    </row>
    <row r="75" spans="1:4" x14ac:dyDescent="0.3">
      <c r="A75" s="6">
        <v>46335</v>
      </c>
      <c r="B75" s="12">
        <f>(100*$L$340*0.5)*(0.0225/2)</f>
        <v>0</v>
      </c>
      <c r="C75" s="12">
        <f t="shared" si="2"/>
        <v>0</v>
      </c>
      <c r="D75" s="13">
        <f t="shared" si="3"/>
        <v>0</v>
      </c>
    </row>
    <row r="76" spans="1:4" x14ac:dyDescent="0.3">
      <c r="A76" s="6">
        <v>46516</v>
      </c>
      <c r="B76" s="12">
        <f>(100*$L$340*0.4)*(0.0225/2)</f>
        <v>0</v>
      </c>
      <c r="C76" s="12">
        <f t="shared" si="2"/>
        <v>0</v>
      </c>
      <c r="D76" s="13">
        <f t="shared" si="3"/>
        <v>0</v>
      </c>
    </row>
    <row r="77" spans="1:4" x14ac:dyDescent="0.3">
      <c r="A77" s="6">
        <v>46700</v>
      </c>
      <c r="B77" s="12">
        <f>(100*$L$340*0.3)*(0.0225/2)</f>
        <v>0</v>
      </c>
      <c r="C77" s="12">
        <f t="shared" si="2"/>
        <v>0</v>
      </c>
      <c r="D77" s="13">
        <f t="shared" si="3"/>
        <v>0</v>
      </c>
    </row>
    <row r="78" spans="1:4" x14ac:dyDescent="0.3">
      <c r="A78" s="6">
        <v>46882</v>
      </c>
      <c r="B78" s="12">
        <f>(100*$L$340*0.2)*(0.0225/2)</f>
        <v>0</v>
      </c>
      <c r="C78" s="12">
        <f t="shared" si="2"/>
        <v>0</v>
      </c>
      <c r="D78" s="13">
        <f t="shared" si="3"/>
        <v>0</v>
      </c>
    </row>
    <row r="79" spans="1:4" x14ac:dyDescent="0.3">
      <c r="A79" s="6">
        <v>47066</v>
      </c>
      <c r="B79" s="12">
        <f>(100*$L$340*0.1)*(0.0225/2)</f>
        <v>0</v>
      </c>
      <c r="C79" s="12">
        <f t="shared" si="2"/>
        <v>0</v>
      </c>
      <c r="D79" s="13">
        <f t="shared" si="3"/>
        <v>0</v>
      </c>
    </row>
    <row r="81" spans="1:4" x14ac:dyDescent="0.3">
      <c r="A81" s="47" t="s">
        <v>18</v>
      </c>
      <c r="B81" s="48"/>
      <c r="C81" s="48"/>
      <c r="D81" s="48"/>
    </row>
    <row r="82" spans="1:4" x14ac:dyDescent="0.3">
      <c r="A82" s="3" t="s">
        <v>0</v>
      </c>
      <c r="B82" s="4" t="s">
        <v>1</v>
      </c>
      <c r="C82" s="4" t="s">
        <v>2</v>
      </c>
      <c r="D82" s="5" t="s">
        <v>3</v>
      </c>
    </row>
    <row r="83" spans="1:4" x14ac:dyDescent="0.3">
      <c r="A83" s="10">
        <v>44712</v>
      </c>
      <c r="B83" s="11"/>
      <c r="C83" s="11"/>
      <c r="D83" s="7"/>
    </row>
    <row r="84" spans="1:4" x14ac:dyDescent="0.3">
      <c r="A84" s="6">
        <v>45991</v>
      </c>
      <c r="B84" s="12">
        <f t="shared" ref="B84:B87" si="4">(100*$L$360*1)*(0.025/2)</f>
        <v>0</v>
      </c>
      <c r="C84" s="12"/>
      <c r="D84" s="13">
        <f t="shared" ref="D84:D96" si="5">C84+B84</f>
        <v>0</v>
      </c>
    </row>
    <row r="85" spans="1:4" x14ac:dyDescent="0.3">
      <c r="A85" s="6">
        <v>46172</v>
      </c>
      <c r="B85" s="12">
        <f t="shared" si="4"/>
        <v>0</v>
      </c>
      <c r="C85" s="12"/>
      <c r="D85" s="13">
        <f t="shared" si="5"/>
        <v>0</v>
      </c>
    </row>
    <row r="86" spans="1:4" x14ac:dyDescent="0.3">
      <c r="A86" s="6">
        <v>46356</v>
      </c>
      <c r="B86" s="12">
        <f t="shared" si="4"/>
        <v>0</v>
      </c>
      <c r="C86" s="12"/>
      <c r="D86" s="13">
        <f t="shared" si="5"/>
        <v>0</v>
      </c>
    </row>
    <row r="87" spans="1:4" x14ac:dyDescent="0.3">
      <c r="A87" s="6">
        <v>46537</v>
      </c>
      <c r="B87" s="12">
        <f t="shared" si="4"/>
        <v>0</v>
      </c>
      <c r="C87" s="12">
        <f t="shared" ref="C87:C96" si="6">(100*$L$360)*0.1</f>
        <v>0</v>
      </c>
      <c r="D87" s="13">
        <f t="shared" si="5"/>
        <v>0</v>
      </c>
    </row>
    <row r="88" spans="1:4" x14ac:dyDescent="0.3">
      <c r="A88" s="6">
        <v>46721</v>
      </c>
      <c r="B88" s="12">
        <f>(100*$L$360*0.9)*(0.025/2)</f>
        <v>0</v>
      </c>
      <c r="C88" s="12">
        <f t="shared" si="6"/>
        <v>0</v>
      </c>
      <c r="D88" s="13">
        <f t="shared" si="5"/>
        <v>0</v>
      </c>
    </row>
    <row r="89" spans="1:4" x14ac:dyDescent="0.3">
      <c r="A89" s="6">
        <v>46903</v>
      </c>
      <c r="B89" s="12">
        <f>(100*$L$360*0.8)*(0.025/2)</f>
        <v>0</v>
      </c>
      <c r="C89" s="12">
        <f t="shared" si="6"/>
        <v>0</v>
      </c>
      <c r="D89" s="13">
        <f t="shared" si="5"/>
        <v>0</v>
      </c>
    </row>
    <row r="90" spans="1:4" x14ac:dyDescent="0.3">
      <c r="A90" s="6">
        <v>47087</v>
      </c>
      <c r="B90" s="12">
        <f>(100*$L$360*0.7)*(0.025/2)</f>
        <v>0</v>
      </c>
      <c r="C90" s="12">
        <f t="shared" si="6"/>
        <v>0</v>
      </c>
      <c r="D90" s="13">
        <f t="shared" si="5"/>
        <v>0</v>
      </c>
    </row>
    <row r="91" spans="1:4" x14ac:dyDescent="0.3">
      <c r="A91" s="6">
        <v>47268</v>
      </c>
      <c r="B91" s="12">
        <f>(100*$L$360*0.6)*(0.025/2)</f>
        <v>0</v>
      </c>
      <c r="C91" s="12">
        <f t="shared" si="6"/>
        <v>0</v>
      </c>
      <c r="D91" s="13">
        <f t="shared" si="5"/>
        <v>0</v>
      </c>
    </row>
    <row r="92" spans="1:4" x14ac:dyDescent="0.3">
      <c r="A92" s="6">
        <v>47452</v>
      </c>
      <c r="B92" s="12">
        <f>(100*$L$360*0.5)*(0.025/2)</f>
        <v>0</v>
      </c>
      <c r="C92" s="12">
        <f t="shared" si="6"/>
        <v>0</v>
      </c>
      <c r="D92" s="13">
        <f t="shared" si="5"/>
        <v>0</v>
      </c>
    </row>
    <row r="93" spans="1:4" x14ac:dyDescent="0.3">
      <c r="A93" s="6">
        <v>47633</v>
      </c>
      <c r="B93" s="12">
        <f>(100*$L$360*0.4)*(0.025/2)</f>
        <v>0</v>
      </c>
      <c r="C93" s="12">
        <f t="shared" si="6"/>
        <v>0</v>
      </c>
      <c r="D93" s="13">
        <f t="shared" si="5"/>
        <v>0</v>
      </c>
    </row>
    <row r="94" spans="1:4" x14ac:dyDescent="0.3">
      <c r="A94" s="6">
        <v>47817</v>
      </c>
      <c r="B94" s="12">
        <f>(100*$L$360*0.3)*(0.025/2)</f>
        <v>0</v>
      </c>
      <c r="C94" s="12">
        <f t="shared" si="6"/>
        <v>0</v>
      </c>
      <c r="D94" s="13">
        <f t="shared" si="5"/>
        <v>0</v>
      </c>
    </row>
    <row r="95" spans="1:4" x14ac:dyDescent="0.3">
      <c r="A95" s="6">
        <v>47998</v>
      </c>
      <c r="B95" s="12">
        <f>(100*$L$360*0.2)*(0.025/2)</f>
        <v>0</v>
      </c>
      <c r="C95" s="12">
        <f t="shared" si="6"/>
        <v>0</v>
      </c>
      <c r="D95" s="13">
        <f t="shared" si="5"/>
        <v>0</v>
      </c>
    </row>
    <row r="96" spans="1:4" x14ac:dyDescent="0.3">
      <c r="A96" s="6">
        <v>48182</v>
      </c>
      <c r="B96" s="12">
        <f>(100*$L$360*0.1)*(0.025/2)</f>
        <v>0</v>
      </c>
      <c r="C96" s="12">
        <f t="shared" si="6"/>
        <v>0</v>
      </c>
      <c r="D96" s="13">
        <f t="shared" si="5"/>
        <v>0</v>
      </c>
    </row>
    <row r="98" spans="1:4" x14ac:dyDescent="0.3">
      <c r="A98" s="47" t="s">
        <v>19</v>
      </c>
      <c r="B98" s="48"/>
      <c r="C98" s="48"/>
      <c r="D98" s="48"/>
    </row>
    <row r="99" spans="1:4" x14ac:dyDescent="0.3">
      <c r="A99" s="3" t="s">
        <v>0</v>
      </c>
      <c r="B99" s="4" t="s">
        <v>1</v>
      </c>
      <c r="C99" s="4" t="s">
        <v>2</v>
      </c>
      <c r="D99" s="5" t="s">
        <v>3</v>
      </c>
    </row>
    <row r="100" spans="1:4" x14ac:dyDescent="0.3">
      <c r="A100" s="10">
        <v>37986</v>
      </c>
      <c r="B100" s="11"/>
      <c r="C100" s="11"/>
      <c r="D100" s="7"/>
    </row>
    <row r="101" spans="1:4" x14ac:dyDescent="0.3">
      <c r="A101" s="6">
        <v>46022</v>
      </c>
      <c r="B101" s="12">
        <f>(100*$L$379*1)*(0.0315)</f>
        <v>0</v>
      </c>
      <c r="C101" s="12">
        <f t="shared" ref="C101:C117" si="7">(100*$L$379)*0.0635</f>
        <v>0</v>
      </c>
      <c r="D101" s="13">
        <f t="shared" ref="D101:D117" si="8">C101+B101</f>
        <v>0</v>
      </c>
    </row>
    <row r="102" spans="1:4" x14ac:dyDescent="0.3">
      <c r="A102" s="6">
        <v>46203</v>
      </c>
      <c r="B102" s="12">
        <f>(100*$L$379*1)*(0.0296)</f>
        <v>0</v>
      </c>
      <c r="C102" s="12">
        <f t="shared" si="7"/>
        <v>0</v>
      </c>
      <c r="D102" s="13">
        <f t="shared" si="8"/>
        <v>0</v>
      </c>
    </row>
    <row r="103" spans="1:4" x14ac:dyDescent="0.3">
      <c r="A103" s="6">
        <v>46387</v>
      </c>
      <c r="B103" s="12">
        <f>(100*$L$379*1)*(0.0278)</f>
        <v>0</v>
      </c>
      <c r="C103" s="12">
        <f t="shared" si="7"/>
        <v>0</v>
      </c>
      <c r="D103" s="13">
        <f t="shared" si="8"/>
        <v>0</v>
      </c>
    </row>
    <row r="104" spans="1:4" x14ac:dyDescent="0.3">
      <c r="A104" s="6">
        <v>46568</v>
      </c>
      <c r="B104" s="12">
        <f>(100*$L$379*1)*(0.0259)</f>
        <v>0</v>
      </c>
      <c r="C104" s="12">
        <f t="shared" si="7"/>
        <v>0</v>
      </c>
      <c r="D104" s="13">
        <f t="shared" si="8"/>
        <v>0</v>
      </c>
    </row>
    <row r="105" spans="1:4" x14ac:dyDescent="0.3">
      <c r="A105" s="6">
        <v>46752</v>
      </c>
      <c r="B105" s="12">
        <f>(100*$L$379*1)*(0.0241)</f>
        <v>0</v>
      </c>
      <c r="C105" s="12">
        <f t="shared" si="7"/>
        <v>0</v>
      </c>
      <c r="D105" s="13">
        <f t="shared" si="8"/>
        <v>0</v>
      </c>
    </row>
    <row r="106" spans="1:4" x14ac:dyDescent="0.3">
      <c r="A106" s="6">
        <v>46934</v>
      </c>
      <c r="B106" s="12">
        <f>(100*$L$379*1)*(0.0222)</f>
        <v>0</v>
      </c>
      <c r="C106" s="12">
        <f t="shared" si="7"/>
        <v>0</v>
      </c>
      <c r="D106" s="13">
        <f t="shared" si="8"/>
        <v>0</v>
      </c>
    </row>
    <row r="107" spans="1:4" x14ac:dyDescent="0.3">
      <c r="A107" s="6">
        <v>47118</v>
      </c>
      <c r="B107" s="12">
        <f>(100*$L$379*1)*(0.0204)</f>
        <v>0</v>
      </c>
      <c r="C107" s="12">
        <f t="shared" si="7"/>
        <v>0</v>
      </c>
      <c r="D107" s="13">
        <f t="shared" si="8"/>
        <v>0</v>
      </c>
    </row>
    <row r="108" spans="1:4" x14ac:dyDescent="0.3">
      <c r="A108" s="6">
        <v>47299</v>
      </c>
      <c r="B108" s="12">
        <f>(100*$L$379*1)*(0.0185)</f>
        <v>0</v>
      </c>
      <c r="C108" s="12">
        <f t="shared" si="7"/>
        <v>0</v>
      </c>
      <c r="D108" s="13">
        <f t="shared" si="8"/>
        <v>0</v>
      </c>
    </row>
    <row r="109" spans="1:4" x14ac:dyDescent="0.3">
      <c r="A109" s="6">
        <v>47483</v>
      </c>
      <c r="B109" s="12">
        <f>(100*$L$379*1)*(0.0167)</f>
        <v>0</v>
      </c>
      <c r="C109" s="12">
        <f t="shared" si="7"/>
        <v>0</v>
      </c>
      <c r="D109" s="13">
        <f t="shared" si="8"/>
        <v>0</v>
      </c>
    </row>
    <row r="110" spans="1:4" x14ac:dyDescent="0.3">
      <c r="A110" s="6">
        <v>47664</v>
      </c>
      <c r="B110" s="12">
        <f>(100*$L$379*1)*(0.0148)</f>
        <v>0</v>
      </c>
      <c r="C110" s="12">
        <f t="shared" si="7"/>
        <v>0</v>
      </c>
      <c r="D110" s="13">
        <f t="shared" si="8"/>
        <v>0</v>
      </c>
    </row>
    <row r="111" spans="1:4" x14ac:dyDescent="0.3">
      <c r="A111" s="6">
        <v>47848</v>
      </c>
      <c r="B111" s="12">
        <f>(100*$L$379*1)*(0.013)</f>
        <v>0</v>
      </c>
      <c r="C111" s="12">
        <f t="shared" si="7"/>
        <v>0</v>
      </c>
      <c r="D111" s="13">
        <f t="shared" si="8"/>
        <v>0</v>
      </c>
    </row>
    <row r="112" spans="1:4" x14ac:dyDescent="0.3">
      <c r="A112" s="6">
        <v>48029</v>
      </c>
      <c r="B112" s="12">
        <f>(100*$L$379*1)*(0.0111)</f>
        <v>0</v>
      </c>
      <c r="C112" s="12">
        <f t="shared" si="7"/>
        <v>0</v>
      </c>
      <c r="D112" s="13">
        <f t="shared" si="8"/>
        <v>0</v>
      </c>
    </row>
    <row r="113" spans="1:4" x14ac:dyDescent="0.3">
      <c r="A113" s="6">
        <v>48213</v>
      </c>
      <c r="B113" s="12">
        <f>(100*$L$379*1)*(0.0093)</f>
        <v>0</v>
      </c>
      <c r="C113" s="12">
        <f t="shared" si="7"/>
        <v>0</v>
      </c>
      <c r="D113" s="13">
        <f t="shared" si="8"/>
        <v>0</v>
      </c>
    </row>
    <row r="114" spans="1:4" x14ac:dyDescent="0.3">
      <c r="A114" s="6">
        <v>48395</v>
      </c>
      <c r="B114" s="12">
        <f>(100*$L$379*1)*(0.0074)</f>
        <v>0</v>
      </c>
      <c r="C114" s="12">
        <f t="shared" si="7"/>
        <v>0</v>
      </c>
      <c r="D114" s="13">
        <f t="shared" si="8"/>
        <v>0</v>
      </c>
    </row>
    <row r="115" spans="1:4" x14ac:dyDescent="0.3">
      <c r="A115" s="6">
        <v>48579</v>
      </c>
      <c r="B115" s="12">
        <f>(100*$L$379*1)*(0.0056)</f>
        <v>0</v>
      </c>
      <c r="C115" s="12">
        <f t="shared" si="7"/>
        <v>0</v>
      </c>
      <c r="D115" s="13">
        <f t="shared" si="8"/>
        <v>0</v>
      </c>
    </row>
    <row r="116" spans="1:4" x14ac:dyDescent="0.3">
      <c r="A116" s="6">
        <v>48760</v>
      </c>
      <c r="B116" s="12">
        <f>(100*$L$379*1)*(0.0037)</f>
        <v>0</v>
      </c>
      <c r="C116" s="12">
        <f t="shared" si="7"/>
        <v>0</v>
      </c>
      <c r="D116" s="13">
        <f t="shared" si="8"/>
        <v>0</v>
      </c>
    </row>
    <row r="117" spans="1:4" x14ac:dyDescent="0.3">
      <c r="A117" s="6">
        <v>48944</v>
      </c>
      <c r="B117" s="12">
        <f>(100*$L$379*1)*(0.0019)</f>
        <v>0</v>
      </c>
      <c r="C117" s="12">
        <f t="shared" si="7"/>
        <v>0</v>
      </c>
      <c r="D117" s="13">
        <f t="shared" si="8"/>
        <v>0</v>
      </c>
    </row>
    <row r="119" spans="1:4" x14ac:dyDescent="0.3">
      <c r="A119" s="47" t="s">
        <v>20</v>
      </c>
      <c r="B119" s="48"/>
      <c r="C119" s="48"/>
      <c r="D119" s="48"/>
    </row>
    <row r="120" spans="1:4" x14ac:dyDescent="0.3">
      <c r="A120" s="3" t="s">
        <v>0</v>
      </c>
      <c r="B120" s="4" t="s">
        <v>1</v>
      </c>
      <c r="C120" s="4" t="s">
        <v>2</v>
      </c>
      <c r="D120" s="5" t="s">
        <v>3</v>
      </c>
    </row>
    <row r="121" spans="1:4" x14ac:dyDescent="0.3">
      <c r="A121" s="10">
        <v>37986</v>
      </c>
      <c r="B121" s="11"/>
      <c r="C121" s="11"/>
      <c r="D121" s="7"/>
    </row>
    <row r="122" spans="1:4" x14ac:dyDescent="0.3">
      <c r="A122" s="6">
        <v>45930</v>
      </c>
      <c r="B122" s="12">
        <f t="shared" ref="B122:B128" si="9">(100*$L$402)*(0.01)</f>
        <v>0</v>
      </c>
      <c r="C122" s="12"/>
      <c r="D122" s="7">
        <f t="shared" ref="D122:D149" si="10">C122+B122</f>
        <v>0</v>
      </c>
    </row>
    <row r="123" spans="1:4" x14ac:dyDescent="0.3">
      <c r="A123" s="6">
        <v>46112</v>
      </c>
      <c r="B123" s="12">
        <f t="shared" si="9"/>
        <v>0</v>
      </c>
      <c r="C123" s="12"/>
      <c r="D123" s="13">
        <f t="shared" si="10"/>
        <v>0</v>
      </c>
    </row>
    <row r="124" spans="1:4" x14ac:dyDescent="0.3">
      <c r="A124" s="6">
        <v>46295</v>
      </c>
      <c r="B124" s="12">
        <f t="shared" si="9"/>
        <v>0</v>
      </c>
      <c r="C124" s="12"/>
      <c r="D124" s="13">
        <f t="shared" si="10"/>
        <v>0</v>
      </c>
    </row>
    <row r="125" spans="1:4" x14ac:dyDescent="0.3">
      <c r="A125" s="6">
        <v>46477</v>
      </c>
      <c r="B125" s="12">
        <f t="shared" si="9"/>
        <v>0</v>
      </c>
      <c r="C125" s="12"/>
      <c r="D125" s="13">
        <f t="shared" si="10"/>
        <v>0</v>
      </c>
    </row>
    <row r="126" spans="1:4" x14ac:dyDescent="0.3">
      <c r="A126" s="6">
        <v>46660</v>
      </c>
      <c r="B126" s="12">
        <f t="shared" si="9"/>
        <v>0</v>
      </c>
      <c r="C126" s="12"/>
      <c r="D126" s="13">
        <f t="shared" si="10"/>
        <v>0</v>
      </c>
    </row>
    <row r="127" spans="1:4" x14ac:dyDescent="0.3">
      <c r="A127" s="6">
        <v>46843</v>
      </c>
      <c r="B127" s="12">
        <f t="shared" si="9"/>
        <v>0</v>
      </c>
      <c r="C127" s="12"/>
      <c r="D127" s="13">
        <f t="shared" si="10"/>
        <v>0</v>
      </c>
    </row>
    <row r="128" spans="1:4" x14ac:dyDescent="0.3">
      <c r="A128" s="6">
        <v>47026</v>
      </c>
      <c r="B128" s="12">
        <f t="shared" si="9"/>
        <v>0</v>
      </c>
      <c r="C128" s="12"/>
      <c r="D128" s="13">
        <f t="shared" si="10"/>
        <v>0</v>
      </c>
    </row>
    <row r="129" spans="1:4" x14ac:dyDescent="0.3">
      <c r="A129" s="6">
        <v>47208</v>
      </c>
      <c r="B129" s="12">
        <f>(100*$L$402)*(0.0125)</f>
        <v>0</v>
      </c>
      <c r="C129" s="12"/>
      <c r="D129" s="13">
        <f t="shared" si="10"/>
        <v>0</v>
      </c>
    </row>
    <row r="130" spans="1:4" x14ac:dyDescent="0.3">
      <c r="A130" s="6">
        <v>47391</v>
      </c>
      <c r="B130" s="12">
        <f>(100*$L$402)*(0.0125)*0.95</f>
        <v>0</v>
      </c>
      <c r="C130" s="12">
        <f t="shared" ref="C130:C149" si="11">(100*$L$402)*0.05</f>
        <v>0</v>
      </c>
      <c r="D130" s="13">
        <f t="shared" si="10"/>
        <v>0</v>
      </c>
    </row>
    <row r="131" spans="1:4" x14ac:dyDescent="0.3">
      <c r="A131" s="6">
        <v>47573</v>
      </c>
      <c r="B131" s="12">
        <f t="shared" ref="B131:B149" si="12">(100*$L$402)*(0.0125)*E131</f>
        <v>0</v>
      </c>
      <c r="C131" s="12">
        <f t="shared" si="11"/>
        <v>0</v>
      </c>
      <c r="D131" s="13">
        <f t="shared" si="10"/>
        <v>0</v>
      </c>
    </row>
    <row r="132" spans="1:4" x14ac:dyDescent="0.3">
      <c r="A132" s="6">
        <v>47756</v>
      </c>
      <c r="B132" s="12">
        <f t="shared" si="12"/>
        <v>0</v>
      </c>
      <c r="C132" s="12">
        <f t="shared" si="11"/>
        <v>0</v>
      </c>
      <c r="D132" s="13">
        <f t="shared" si="10"/>
        <v>0</v>
      </c>
    </row>
    <row r="133" spans="1:4" x14ac:dyDescent="0.3">
      <c r="A133" s="6">
        <v>47938</v>
      </c>
      <c r="B133" s="12">
        <f t="shared" si="12"/>
        <v>0</v>
      </c>
      <c r="C133" s="12">
        <f t="shared" si="11"/>
        <v>0</v>
      </c>
      <c r="D133" s="13">
        <f t="shared" si="10"/>
        <v>0</v>
      </c>
    </row>
    <row r="134" spans="1:4" x14ac:dyDescent="0.3">
      <c r="A134" s="6">
        <v>48121</v>
      </c>
      <c r="B134" s="12">
        <f t="shared" si="12"/>
        <v>0</v>
      </c>
      <c r="C134" s="12">
        <f t="shared" si="11"/>
        <v>0</v>
      </c>
      <c r="D134" s="13">
        <f t="shared" si="10"/>
        <v>0</v>
      </c>
    </row>
    <row r="135" spans="1:4" x14ac:dyDescent="0.3">
      <c r="A135" s="6">
        <v>48304</v>
      </c>
      <c r="B135" s="12">
        <f t="shared" si="12"/>
        <v>0</v>
      </c>
      <c r="C135" s="12">
        <f t="shared" si="11"/>
        <v>0</v>
      </c>
      <c r="D135" s="13">
        <f t="shared" si="10"/>
        <v>0</v>
      </c>
    </row>
    <row r="136" spans="1:4" x14ac:dyDescent="0.3">
      <c r="A136" s="6">
        <v>48487</v>
      </c>
      <c r="B136" s="12">
        <f t="shared" si="12"/>
        <v>0</v>
      </c>
      <c r="C136" s="12">
        <f t="shared" si="11"/>
        <v>0</v>
      </c>
      <c r="D136" s="13">
        <f t="shared" si="10"/>
        <v>0</v>
      </c>
    </row>
    <row r="137" spans="1:4" x14ac:dyDescent="0.3">
      <c r="A137" s="6">
        <v>48669</v>
      </c>
      <c r="B137" s="12">
        <f t="shared" si="12"/>
        <v>0</v>
      </c>
      <c r="C137" s="12">
        <f t="shared" si="11"/>
        <v>0</v>
      </c>
      <c r="D137" s="13">
        <f t="shared" si="10"/>
        <v>0</v>
      </c>
    </row>
    <row r="138" spans="1:4" x14ac:dyDescent="0.3">
      <c r="A138" s="6">
        <v>48852</v>
      </c>
      <c r="B138" s="12">
        <f t="shared" si="12"/>
        <v>0</v>
      </c>
      <c r="C138" s="12">
        <f t="shared" si="11"/>
        <v>0</v>
      </c>
      <c r="D138" s="13">
        <f t="shared" si="10"/>
        <v>0</v>
      </c>
    </row>
    <row r="139" spans="1:4" x14ac:dyDescent="0.3">
      <c r="A139" s="6">
        <v>49034</v>
      </c>
      <c r="B139" s="12">
        <f t="shared" si="12"/>
        <v>0</v>
      </c>
      <c r="C139" s="12">
        <f t="shared" si="11"/>
        <v>0</v>
      </c>
      <c r="D139" s="13">
        <f t="shared" si="10"/>
        <v>0</v>
      </c>
    </row>
    <row r="140" spans="1:4" x14ac:dyDescent="0.3">
      <c r="A140" s="6">
        <v>49217</v>
      </c>
      <c r="B140" s="12">
        <f t="shared" si="12"/>
        <v>0</v>
      </c>
      <c r="C140" s="12">
        <f t="shared" si="11"/>
        <v>0</v>
      </c>
      <c r="D140" s="13">
        <f t="shared" si="10"/>
        <v>0</v>
      </c>
    </row>
    <row r="141" spans="1:4" x14ac:dyDescent="0.3">
      <c r="A141" s="6">
        <v>49399</v>
      </c>
      <c r="B141" s="12">
        <f t="shared" si="12"/>
        <v>0</v>
      </c>
      <c r="C141" s="12">
        <f t="shared" si="11"/>
        <v>0</v>
      </c>
      <c r="D141" s="13">
        <f t="shared" si="10"/>
        <v>0</v>
      </c>
    </row>
    <row r="142" spans="1:4" x14ac:dyDescent="0.3">
      <c r="A142" s="6">
        <v>49582</v>
      </c>
      <c r="B142" s="12">
        <f t="shared" si="12"/>
        <v>0</v>
      </c>
      <c r="C142" s="12">
        <f t="shared" si="11"/>
        <v>0</v>
      </c>
      <c r="D142" s="13">
        <f t="shared" si="10"/>
        <v>0</v>
      </c>
    </row>
    <row r="143" spans="1:4" x14ac:dyDescent="0.3">
      <c r="A143" s="6">
        <v>49765</v>
      </c>
      <c r="B143" s="12">
        <f t="shared" si="12"/>
        <v>0</v>
      </c>
      <c r="C143" s="12">
        <f t="shared" si="11"/>
        <v>0</v>
      </c>
      <c r="D143" s="13">
        <f t="shared" si="10"/>
        <v>0</v>
      </c>
    </row>
    <row r="144" spans="1:4" x14ac:dyDescent="0.3">
      <c r="A144" s="6">
        <v>49948</v>
      </c>
      <c r="B144" s="12">
        <f t="shared" si="12"/>
        <v>0</v>
      </c>
      <c r="C144" s="12">
        <f t="shared" si="11"/>
        <v>0</v>
      </c>
      <c r="D144" s="13">
        <f t="shared" si="10"/>
        <v>0</v>
      </c>
    </row>
    <row r="145" spans="1:4" x14ac:dyDescent="0.3">
      <c r="A145" s="6">
        <v>50130</v>
      </c>
      <c r="B145" s="12">
        <f t="shared" si="12"/>
        <v>0</v>
      </c>
      <c r="C145" s="12">
        <f t="shared" si="11"/>
        <v>0</v>
      </c>
      <c r="D145" s="13">
        <f t="shared" si="10"/>
        <v>0</v>
      </c>
    </row>
    <row r="146" spans="1:4" x14ac:dyDescent="0.3">
      <c r="A146" s="6">
        <v>50313</v>
      </c>
      <c r="B146" s="12">
        <f t="shared" si="12"/>
        <v>0</v>
      </c>
      <c r="C146" s="12">
        <f t="shared" si="11"/>
        <v>0</v>
      </c>
      <c r="D146" s="13">
        <f t="shared" si="10"/>
        <v>0</v>
      </c>
    </row>
    <row r="147" spans="1:4" x14ac:dyDescent="0.3">
      <c r="A147" s="6">
        <v>50495</v>
      </c>
      <c r="B147" s="12">
        <f t="shared" si="12"/>
        <v>0</v>
      </c>
      <c r="C147" s="12">
        <f t="shared" si="11"/>
        <v>0</v>
      </c>
      <c r="D147" s="13">
        <f t="shared" si="10"/>
        <v>0</v>
      </c>
    </row>
    <row r="148" spans="1:4" x14ac:dyDescent="0.3">
      <c r="A148" s="6">
        <v>50678</v>
      </c>
      <c r="B148" s="12">
        <f t="shared" si="12"/>
        <v>0</v>
      </c>
      <c r="C148" s="12">
        <f t="shared" si="11"/>
        <v>0</v>
      </c>
      <c r="D148" s="13">
        <f t="shared" si="10"/>
        <v>0</v>
      </c>
    </row>
    <row r="149" spans="1:4" x14ac:dyDescent="0.3">
      <c r="A149" s="6">
        <v>50860</v>
      </c>
      <c r="B149" s="12">
        <f t="shared" si="12"/>
        <v>0</v>
      </c>
      <c r="C149" s="12">
        <f t="shared" si="11"/>
        <v>0</v>
      </c>
      <c r="D149" s="13">
        <f t="shared" si="10"/>
        <v>0</v>
      </c>
    </row>
    <row r="150" spans="1:4" x14ac:dyDescent="0.3">
      <c r="A150" s="6"/>
    </row>
    <row r="151" spans="1:4" x14ac:dyDescent="0.3">
      <c r="A151" s="47" t="s">
        <v>21</v>
      </c>
      <c r="B151" s="48"/>
      <c r="C151" s="48"/>
      <c r="D151" s="48"/>
    </row>
    <row r="152" spans="1:4" x14ac:dyDescent="0.3">
      <c r="A152" s="3" t="s">
        <v>0</v>
      </c>
      <c r="B152" s="4" t="s">
        <v>1</v>
      </c>
      <c r="C152" s="4" t="s">
        <v>2</v>
      </c>
      <c r="D152" s="5" t="s">
        <v>3</v>
      </c>
    </row>
    <row r="153" spans="1:4" x14ac:dyDescent="0.3">
      <c r="A153" s="10">
        <v>37986</v>
      </c>
      <c r="B153" s="11"/>
      <c r="C153" s="11"/>
      <c r="D153" s="7"/>
    </row>
    <row r="154" spans="1:4" x14ac:dyDescent="0.3">
      <c r="A154" s="6">
        <v>46022</v>
      </c>
      <c r="B154" s="12">
        <f t="shared" ref="B154:B173" si="13">(100*$L$402)*(0.023)</f>
        <v>0</v>
      </c>
      <c r="C154" s="12"/>
      <c r="D154" s="13">
        <f t="shared" ref="D154:D194" si="14">C154+B154</f>
        <v>0</v>
      </c>
    </row>
    <row r="155" spans="1:4" x14ac:dyDescent="0.3">
      <c r="A155" s="6">
        <v>46203</v>
      </c>
      <c r="B155" s="12">
        <f t="shared" si="13"/>
        <v>0</v>
      </c>
      <c r="C155" s="12"/>
      <c r="D155" s="13">
        <f t="shared" si="14"/>
        <v>0</v>
      </c>
    </row>
    <row r="156" spans="1:4" x14ac:dyDescent="0.3">
      <c r="A156" s="6">
        <v>46387</v>
      </c>
      <c r="B156" s="12">
        <f t="shared" si="13"/>
        <v>0</v>
      </c>
      <c r="C156" s="12"/>
      <c r="D156" s="13">
        <f t="shared" si="14"/>
        <v>0</v>
      </c>
    </row>
    <row r="157" spans="1:4" x14ac:dyDescent="0.3">
      <c r="A157" s="6">
        <v>46568</v>
      </c>
      <c r="B157" s="12">
        <f t="shared" si="13"/>
        <v>0</v>
      </c>
      <c r="C157" s="12"/>
      <c r="D157" s="13">
        <f t="shared" si="14"/>
        <v>0</v>
      </c>
    </row>
    <row r="158" spans="1:4" x14ac:dyDescent="0.3">
      <c r="A158" s="6">
        <v>46752</v>
      </c>
      <c r="B158" s="12">
        <f t="shared" si="13"/>
        <v>0</v>
      </c>
      <c r="C158" s="12"/>
      <c r="D158" s="13">
        <f t="shared" si="14"/>
        <v>0</v>
      </c>
    </row>
    <row r="159" spans="1:4" x14ac:dyDescent="0.3">
      <c r="A159" s="6">
        <v>46934</v>
      </c>
      <c r="B159" s="12">
        <f t="shared" si="13"/>
        <v>0</v>
      </c>
      <c r="C159" s="12"/>
      <c r="D159" s="13">
        <f t="shared" si="14"/>
        <v>0</v>
      </c>
    </row>
    <row r="160" spans="1:4" x14ac:dyDescent="0.3">
      <c r="A160" s="6">
        <v>47118</v>
      </c>
      <c r="B160" s="12">
        <f t="shared" si="13"/>
        <v>0</v>
      </c>
      <c r="C160" s="12"/>
      <c r="D160" s="13">
        <f t="shared" si="14"/>
        <v>0</v>
      </c>
    </row>
    <row r="161" spans="1:4" x14ac:dyDescent="0.3">
      <c r="A161" s="6">
        <v>47299</v>
      </c>
      <c r="B161" s="12">
        <f t="shared" si="13"/>
        <v>0</v>
      </c>
      <c r="C161" s="12"/>
      <c r="D161" s="13">
        <f t="shared" si="14"/>
        <v>0</v>
      </c>
    </row>
    <row r="162" spans="1:4" x14ac:dyDescent="0.3">
      <c r="A162" s="6">
        <v>47483</v>
      </c>
      <c r="B162" s="12">
        <f t="shared" si="13"/>
        <v>0</v>
      </c>
      <c r="C162" s="12"/>
      <c r="D162" s="13">
        <f t="shared" si="14"/>
        <v>0</v>
      </c>
    </row>
    <row r="163" spans="1:4" x14ac:dyDescent="0.3">
      <c r="A163" s="6">
        <v>47664</v>
      </c>
      <c r="B163" s="12">
        <f t="shared" si="13"/>
        <v>0</v>
      </c>
      <c r="C163" s="12"/>
      <c r="D163" s="13">
        <f t="shared" si="14"/>
        <v>0</v>
      </c>
    </row>
    <row r="164" spans="1:4" x14ac:dyDescent="0.3">
      <c r="A164" s="6">
        <v>47848</v>
      </c>
      <c r="B164" s="12">
        <f t="shared" si="13"/>
        <v>0</v>
      </c>
      <c r="C164" s="12"/>
      <c r="D164" s="13">
        <f t="shared" si="14"/>
        <v>0</v>
      </c>
    </row>
    <row r="165" spans="1:4" x14ac:dyDescent="0.3">
      <c r="A165" s="6">
        <v>48029</v>
      </c>
      <c r="B165" s="12">
        <f t="shared" si="13"/>
        <v>0</v>
      </c>
      <c r="C165" s="12"/>
      <c r="D165" s="13">
        <f t="shared" si="14"/>
        <v>0</v>
      </c>
    </row>
    <row r="166" spans="1:4" x14ac:dyDescent="0.3">
      <c r="A166" s="6">
        <v>48213</v>
      </c>
      <c r="B166" s="12">
        <f t="shared" si="13"/>
        <v>0</v>
      </c>
      <c r="C166" s="12"/>
      <c r="D166" s="13">
        <f t="shared" si="14"/>
        <v>0</v>
      </c>
    </row>
    <row r="167" spans="1:4" x14ac:dyDescent="0.3">
      <c r="A167" s="6">
        <v>48395</v>
      </c>
      <c r="B167" s="12">
        <f t="shared" si="13"/>
        <v>0</v>
      </c>
      <c r="C167" s="12"/>
      <c r="D167" s="13">
        <f t="shared" si="14"/>
        <v>0</v>
      </c>
    </row>
    <row r="168" spans="1:4" x14ac:dyDescent="0.3">
      <c r="A168" s="6">
        <v>48579</v>
      </c>
      <c r="B168" s="12">
        <f t="shared" si="13"/>
        <v>0</v>
      </c>
      <c r="C168" s="12"/>
      <c r="D168" s="13">
        <f t="shared" si="14"/>
        <v>0</v>
      </c>
    </row>
    <row r="169" spans="1:4" x14ac:dyDescent="0.3">
      <c r="A169" s="6">
        <v>48760</v>
      </c>
      <c r="B169" s="12">
        <f t="shared" si="13"/>
        <v>0</v>
      </c>
      <c r="C169" s="12"/>
      <c r="D169" s="13">
        <f t="shared" si="14"/>
        <v>0</v>
      </c>
    </row>
    <row r="170" spans="1:4" x14ac:dyDescent="0.3">
      <c r="A170" s="6">
        <v>48944</v>
      </c>
      <c r="B170" s="12">
        <f t="shared" si="13"/>
        <v>0</v>
      </c>
      <c r="C170" s="12"/>
      <c r="D170" s="13">
        <f t="shared" si="14"/>
        <v>0</v>
      </c>
    </row>
    <row r="171" spans="1:4" x14ac:dyDescent="0.3">
      <c r="A171" s="6">
        <v>49125</v>
      </c>
      <c r="B171" s="12">
        <f t="shared" si="13"/>
        <v>0</v>
      </c>
      <c r="C171" s="12"/>
      <c r="D171" s="13">
        <f t="shared" si="14"/>
        <v>0</v>
      </c>
    </row>
    <row r="172" spans="1:4" x14ac:dyDescent="0.3">
      <c r="A172" s="6">
        <v>49309</v>
      </c>
      <c r="B172" s="12">
        <f t="shared" si="13"/>
        <v>0</v>
      </c>
      <c r="C172" s="12"/>
      <c r="D172" s="13">
        <f t="shared" si="14"/>
        <v>0</v>
      </c>
    </row>
    <row r="173" spans="1:4" x14ac:dyDescent="0.3">
      <c r="A173" s="6">
        <v>49490</v>
      </c>
      <c r="B173" s="12">
        <f t="shared" si="13"/>
        <v>0</v>
      </c>
      <c r="C173" s="12"/>
      <c r="D173" s="13">
        <f t="shared" si="14"/>
        <v>0</v>
      </c>
    </row>
    <row r="174" spans="1:4" x14ac:dyDescent="0.3">
      <c r="A174" s="6">
        <v>49674</v>
      </c>
      <c r="B174" s="12">
        <f t="shared" ref="B174:B194" si="15">(100*$L$402)*(0.023)*E174</f>
        <v>0</v>
      </c>
      <c r="C174" s="12"/>
      <c r="D174" s="13">
        <f t="shared" si="14"/>
        <v>0</v>
      </c>
    </row>
    <row r="175" spans="1:4" x14ac:dyDescent="0.3">
      <c r="A175" s="6">
        <v>49856</v>
      </c>
      <c r="B175" s="12">
        <f t="shared" si="15"/>
        <v>0</v>
      </c>
      <c r="C175" s="12">
        <f t="shared" ref="C175:C194" si="16">(100*$L$435)*0.069</f>
        <v>0</v>
      </c>
      <c r="D175" s="13">
        <f t="shared" si="14"/>
        <v>0</v>
      </c>
    </row>
    <row r="176" spans="1:4" x14ac:dyDescent="0.3">
      <c r="A176" s="6">
        <v>50040</v>
      </c>
      <c r="B176" s="12">
        <f t="shared" si="15"/>
        <v>0</v>
      </c>
      <c r="C176" s="12">
        <f t="shared" si="16"/>
        <v>0</v>
      </c>
      <c r="D176" s="13">
        <f t="shared" si="14"/>
        <v>0</v>
      </c>
    </row>
    <row r="177" spans="1:4" x14ac:dyDescent="0.3">
      <c r="A177" s="6">
        <v>50221</v>
      </c>
      <c r="B177" s="12">
        <f t="shared" si="15"/>
        <v>0</v>
      </c>
      <c r="C177" s="12">
        <f t="shared" si="16"/>
        <v>0</v>
      </c>
      <c r="D177" s="13">
        <f t="shared" si="14"/>
        <v>0</v>
      </c>
    </row>
    <row r="178" spans="1:4" x14ac:dyDescent="0.3">
      <c r="A178" s="6">
        <v>50405</v>
      </c>
      <c r="B178" s="12">
        <f t="shared" si="15"/>
        <v>0</v>
      </c>
      <c r="C178" s="12">
        <f t="shared" si="16"/>
        <v>0</v>
      </c>
      <c r="D178" s="13">
        <f t="shared" si="14"/>
        <v>0</v>
      </c>
    </row>
    <row r="179" spans="1:4" x14ac:dyDescent="0.3">
      <c r="A179" s="6">
        <v>50586</v>
      </c>
      <c r="B179" s="12">
        <f t="shared" si="15"/>
        <v>0</v>
      </c>
      <c r="C179" s="12">
        <f t="shared" si="16"/>
        <v>0</v>
      </c>
      <c r="D179" s="13">
        <f t="shared" si="14"/>
        <v>0</v>
      </c>
    </row>
    <row r="180" spans="1:4" x14ac:dyDescent="0.3">
      <c r="A180" s="6">
        <v>50770</v>
      </c>
      <c r="B180" s="12">
        <f t="shared" si="15"/>
        <v>0</v>
      </c>
      <c r="C180" s="12">
        <f t="shared" si="16"/>
        <v>0</v>
      </c>
      <c r="D180" s="13">
        <f t="shared" si="14"/>
        <v>0</v>
      </c>
    </row>
    <row r="181" spans="1:4" x14ac:dyDescent="0.3">
      <c r="A181" s="6">
        <v>50951</v>
      </c>
      <c r="B181" s="12">
        <f t="shared" si="15"/>
        <v>0</v>
      </c>
      <c r="C181" s="12">
        <f t="shared" si="16"/>
        <v>0</v>
      </c>
      <c r="D181" s="13">
        <f t="shared" si="14"/>
        <v>0</v>
      </c>
    </row>
    <row r="182" spans="1:4" x14ac:dyDescent="0.3">
      <c r="A182" s="6">
        <v>51135</v>
      </c>
      <c r="B182" s="12">
        <f t="shared" si="15"/>
        <v>0</v>
      </c>
      <c r="C182" s="12">
        <f t="shared" si="16"/>
        <v>0</v>
      </c>
      <c r="D182" s="13">
        <f t="shared" si="14"/>
        <v>0</v>
      </c>
    </row>
    <row r="183" spans="1:4" x14ac:dyDescent="0.3">
      <c r="A183" s="6">
        <v>51317</v>
      </c>
      <c r="B183" s="12">
        <f t="shared" si="15"/>
        <v>0</v>
      </c>
      <c r="C183" s="12">
        <f t="shared" si="16"/>
        <v>0</v>
      </c>
      <c r="D183" s="13">
        <f t="shared" si="14"/>
        <v>0</v>
      </c>
    </row>
    <row r="184" spans="1:4" x14ac:dyDescent="0.3">
      <c r="A184" s="6">
        <v>51501</v>
      </c>
      <c r="B184" s="12">
        <f t="shared" si="15"/>
        <v>0</v>
      </c>
      <c r="C184" s="12">
        <f t="shared" si="16"/>
        <v>0</v>
      </c>
      <c r="D184" s="13">
        <f t="shared" si="14"/>
        <v>0</v>
      </c>
    </row>
    <row r="185" spans="1:4" x14ac:dyDescent="0.3">
      <c r="A185" s="6">
        <v>51682</v>
      </c>
      <c r="B185" s="12">
        <f t="shared" si="15"/>
        <v>0</v>
      </c>
      <c r="C185" s="12">
        <f t="shared" si="16"/>
        <v>0</v>
      </c>
      <c r="D185" s="13">
        <f t="shared" si="14"/>
        <v>0</v>
      </c>
    </row>
    <row r="186" spans="1:4" x14ac:dyDescent="0.3">
      <c r="A186" s="6">
        <v>51866</v>
      </c>
      <c r="B186" s="12">
        <f t="shared" si="15"/>
        <v>0</v>
      </c>
      <c r="C186" s="12">
        <f t="shared" si="16"/>
        <v>0</v>
      </c>
      <c r="D186" s="13">
        <f t="shared" si="14"/>
        <v>0</v>
      </c>
    </row>
    <row r="187" spans="1:4" x14ac:dyDescent="0.3">
      <c r="A187" s="6">
        <v>52047</v>
      </c>
      <c r="B187" s="12">
        <f t="shared" si="15"/>
        <v>0</v>
      </c>
      <c r="C187" s="12">
        <f t="shared" si="16"/>
        <v>0</v>
      </c>
      <c r="D187" s="13">
        <f t="shared" si="14"/>
        <v>0</v>
      </c>
    </row>
    <row r="188" spans="1:4" x14ac:dyDescent="0.3">
      <c r="A188" s="6">
        <v>52231</v>
      </c>
      <c r="B188" s="12">
        <f t="shared" si="15"/>
        <v>0</v>
      </c>
      <c r="C188" s="12">
        <f t="shared" si="16"/>
        <v>0</v>
      </c>
      <c r="D188" s="13">
        <f t="shared" si="14"/>
        <v>0</v>
      </c>
    </row>
    <row r="189" spans="1:4" x14ac:dyDescent="0.3">
      <c r="A189" s="6">
        <v>52412</v>
      </c>
      <c r="B189" s="12">
        <f t="shared" si="15"/>
        <v>0</v>
      </c>
      <c r="C189" s="12">
        <f t="shared" si="16"/>
        <v>0</v>
      </c>
      <c r="D189" s="13">
        <f t="shared" si="14"/>
        <v>0</v>
      </c>
    </row>
    <row r="190" spans="1:4" x14ac:dyDescent="0.3">
      <c r="A190" s="6">
        <v>52596</v>
      </c>
      <c r="B190" s="12">
        <f t="shared" si="15"/>
        <v>0</v>
      </c>
      <c r="C190" s="12">
        <f t="shared" si="16"/>
        <v>0</v>
      </c>
      <c r="D190" s="13">
        <f t="shared" si="14"/>
        <v>0</v>
      </c>
    </row>
    <row r="191" spans="1:4" x14ac:dyDescent="0.3">
      <c r="A191" s="6">
        <v>52778</v>
      </c>
      <c r="B191" s="12">
        <f t="shared" si="15"/>
        <v>0</v>
      </c>
      <c r="C191" s="12">
        <f t="shared" si="16"/>
        <v>0</v>
      </c>
      <c r="D191" s="13">
        <f t="shared" si="14"/>
        <v>0</v>
      </c>
    </row>
    <row r="192" spans="1:4" x14ac:dyDescent="0.3">
      <c r="A192" s="6">
        <v>52962</v>
      </c>
      <c r="B192" s="12">
        <f t="shared" si="15"/>
        <v>0</v>
      </c>
      <c r="C192" s="12">
        <f t="shared" si="16"/>
        <v>0</v>
      </c>
      <c r="D192" s="13">
        <f t="shared" si="14"/>
        <v>0</v>
      </c>
    </row>
    <row r="193" spans="1:4" x14ac:dyDescent="0.3">
      <c r="A193" s="6">
        <v>53143</v>
      </c>
      <c r="B193" s="12">
        <f t="shared" si="15"/>
        <v>0</v>
      </c>
      <c r="C193" s="12">
        <f t="shared" si="16"/>
        <v>0</v>
      </c>
      <c r="D193" s="13">
        <f t="shared" si="14"/>
        <v>0</v>
      </c>
    </row>
    <row r="194" spans="1:4" x14ac:dyDescent="0.3">
      <c r="A194" s="6">
        <v>53327</v>
      </c>
      <c r="B194" s="12">
        <f t="shared" si="15"/>
        <v>0</v>
      </c>
      <c r="C194" s="12">
        <f t="shared" si="16"/>
        <v>0</v>
      </c>
      <c r="D194" s="13">
        <f t="shared" si="14"/>
        <v>0</v>
      </c>
    </row>
    <row r="196" spans="1:4" x14ac:dyDescent="0.3">
      <c r="A196" s="47" t="s">
        <v>22</v>
      </c>
      <c r="B196" s="48"/>
      <c r="C196" s="48"/>
      <c r="D196" s="48"/>
    </row>
    <row r="197" spans="1:4" x14ac:dyDescent="0.3">
      <c r="A197" s="3" t="s">
        <v>0</v>
      </c>
      <c r="B197" s="4" t="s">
        <v>1</v>
      </c>
      <c r="C197" s="4" t="s">
        <v>2</v>
      </c>
      <c r="D197" s="5" t="s">
        <v>3</v>
      </c>
    </row>
    <row r="198" spans="1:4" x14ac:dyDescent="0.3">
      <c r="A198" s="6">
        <v>45991</v>
      </c>
      <c r="B198" s="12">
        <v>14.742000000000001</v>
      </c>
      <c r="C198" s="14">
        <v>0</v>
      </c>
      <c r="D198" s="12">
        <f t="shared" ref="D198:D207" si="17">B198+C198</f>
        <v>14.742000000000001</v>
      </c>
    </row>
    <row r="199" spans="1:4" x14ac:dyDescent="0.3">
      <c r="A199" s="6">
        <v>46172</v>
      </c>
      <c r="B199" s="12">
        <v>14.742000000000001</v>
      </c>
      <c r="C199" s="14">
        <v>0</v>
      </c>
      <c r="D199" s="12">
        <f t="shared" si="17"/>
        <v>14.742000000000001</v>
      </c>
    </row>
    <row r="200" spans="1:4" x14ac:dyDescent="0.3">
      <c r="A200" s="6">
        <v>46356</v>
      </c>
      <c r="B200" s="12">
        <v>14.742000000000001</v>
      </c>
      <c r="C200" s="14">
        <v>0</v>
      </c>
      <c r="D200" s="12">
        <f t="shared" si="17"/>
        <v>14.742000000000001</v>
      </c>
    </row>
    <row r="201" spans="1:4" x14ac:dyDescent="0.3">
      <c r="A201" s="6">
        <v>46537</v>
      </c>
      <c r="B201" s="12">
        <v>14.742000000000001</v>
      </c>
      <c r="C201" s="14">
        <v>0</v>
      </c>
      <c r="D201" s="12">
        <f t="shared" si="17"/>
        <v>14.742000000000001</v>
      </c>
    </row>
    <row r="202" spans="1:4" x14ac:dyDescent="0.3">
      <c r="A202" s="6">
        <v>46721</v>
      </c>
      <c r="B202" s="12">
        <v>14.742000000000001</v>
      </c>
      <c r="C202" s="14">
        <v>0</v>
      </c>
      <c r="D202" s="12">
        <f t="shared" si="17"/>
        <v>14.742000000000001</v>
      </c>
    </row>
    <row r="203" spans="1:4" x14ac:dyDescent="0.3">
      <c r="A203" s="6">
        <v>46903</v>
      </c>
      <c r="B203" s="12">
        <v>14.742000000000001</v>
      </c>
      <c r="C203" s="14">
        <v>0</v>
      </c>
      <c r="D203" s="12">
        <f t="shared" si="17"/>
        <v>14.742000000000001</v>
      </c>
    </row>
    <row r="204" spans="1:4" x14ac:dyDescent="0.3">
      <c r="A204" s="6">
        <v>47087</v>
      </c>
      <c r="B204" s="12">
        <v>14.742000000000001</v>
      </c>
      <c r="C204" s="14">
        <v>0</v>
      </c>
      <c r="D204" s="12">
        <f t="shared" si="17"/>
        <v>14.742000000000001</v>
      </c>
    </row>
    <row r="205" spans="1:4" x14ac:dyDescent="0.3">
      <c r="A205" s="6">
        <v>47268</v>
      </c>
      <c r="B205" s="12">
        <v>14.742000000000001</v>
      </c>
      <c r="C205" s="14">
        <v>0</v>
      </c>
      <c r="D205" s="12">
        <f t="shared" si="17"/>
        <v>14.742000000000001</v>
      </c>
    </row>
    <row r="206" spans="1:4" x14ac:dyDescent="0.3">
      <c r="A206" s="6">
        <v>47452</v>
      </c>
      <c r="B206" s="12">
        <v>14.742000000000001</v>
      </c>
      <c r="C206" s="14">
        <v>0</v>
      </c>
      <c r="D206" s="12">
        <f t="shared" si="17"/>
        <v>14.742000000000001</v>
      </c>
    </row>
    <row r="207" spans="1:4" x14ac:dyDescent="0.3">
      <c r="A207" s="6">
        <v>47633</v>
      </c>
      <c r="B207" s="12">
        <v>14.742000000000001</v>
      </c>
      <c r="C207" s="14">
        <v>100</v>
      </c>
      <c r="D207" s="12">
        <f t="shared" si="17"/>
        <v>114.742</v>
      </c>
    </row>
    <row r="209" spans="1:4" x14ac:dyDescent="0.3">
      <c r="A209" s="47" t="s">
        <v>22</v>
      </c>
      <c r="B209" s="48"/>
      <c r="C209" s="48"/>
      <c r="D209" s="48"/>
    </row>
    <row r="210" spans="1:4" x14ac:dyDescent="0.3">
      <c r="A210" s="3" t="s">
        <v>0</v>
      </c>
      <c r="B210" s="4" t="s">
        <v>1</v>
      </c>
      <c r="C210" s="4" t="s">
        <v>2</v>
      </c>
      <c r="D210" s="5" t="s">
        <v>3</v>
      </c>
    </row>
    <row r="211" spans="1:4" x14ac:dyDescent="0.3">
      <c r="A211" s="6">
        <v>45991</v>
      </c>
      <c r="B211" s="12">
        <v>14.742000000000001</v>
      </c>
      <c r="C211" s="14">
        <v>0</v>
      </c>
      <c r="D211" s="12">
        <f t="shared" ref="D211:D214" si="18">B211+C211</f>
        <v>14.742000000000001</v>
      </c>
    </row>
    <row r="212" spans="1:4" x14ac:dyDescent="0.3">
      <c r="A212" s="6">
        <v>46172</v>
      </c>
      <c r="B212" s="12">
        <v>14.742000000000001</v>
      </c>
      <c r="C212" s="14">
        <v>0</v>
      </c>
      <c r="D212" s="12">
        <f t="shared" si="18"/>
        <v>14.742000000000001</v>
      </c>
    </row>
    <row r="213" spans="1:4" x14ac:dyDescent="0.3">
      <c r="A213" s="6">
        <v>46356</v>
      </c>
      <c r="B213" s="12">
        <v>14.742000000000001</v>
      </c>
      <c r="C213" s="14">
        <v>0</v>
      </c>
      <c r="D213" s="12">
        <f t="shared" si="18"/>
        <v>14.742000000000001</v>
      </c>
    </row>
    <row r="214" spans="1:4" x14ac:dyDescent="0.3">
      <c r="A214" s="6">
        <v>46538</v>
      </c>
      <c r="B214" s="12">
        <v>14.742000000000001</v>
      </c>
      <c r="C214" s="14">
        <v>100</v>
      </c>
      <c r="D214" s="12">
        <f t="shared" si="18"/>
        <v>114.742</v>
      </c>
    </row>
  </sheetData>
  <mergeCells count="20">
    <mergeCell ref="A1:D1"/>
    <mergeCell ref="A8:D8"/>
    <mergeCell ref="A13:D13"/>
    <mergeCell ref="A18:D18"/>
    <mergeCell ref="A81:D81"/>
    <mergeCell ref="A23:D23"/>
    <mergeCell ref="A28:D28"/>
    <mergeCell ref="A33:D33"/>
    <mergeCell ref="A38:D38"/>
    <mergeCell ref="A43:D43"/>
    <mergeCell ref="A48:D48"/>
    <mergeCell ref="A53:D53"/>
    <mergeCell ref="A58:D58"/>
    <mergeCell ref="A63:D63"/>
    <mergeCell ref="A70:D70"/>
    <mergeCell ref="A98:D98"/>
    <mergeCell ref="A119:D119"/>
    <mergeCell ref="A151:D151"/>
    <mergeCell ref="A196:D196"/>
    <mergeCell ref="A209:D20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123ebae-a006-42c7-9ea3-c84a2feb0e65}" enabled="0" method="" siteId="{1123ebae-a006-42c7-9ea3-c84a2feb0e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CER</vt:lpstr>
      <vt:lpstr>INFLA</vt:lpstr>
      <vt:lpstr>FLUJOS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Segura</dc:creator>
  <cp:lastModifiedBy>Sebastián Segura</cp:lastModifiedBy>
  <dcterms:created xsi:type="dcterms:W3CDTF">2026-01-21T15:17:44Z</dcterms:created>
  <dcterms:modified xsi:type="dcterms:W3CDTF">2026-04-15T12:47:51Z</dcterms:modified>
</cp:coreProperties>
</file>